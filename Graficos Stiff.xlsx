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C4B9C4E-D5B9-479B-85D3-116D1D696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grama stiff_EI" sheetId="2" r:id="rId1"/>
    <sheet name="Diagrama stiff_PA" sheetId="3" r:id="rId2"/>
    <sheet name="Diagrama stiff_PA (2)" sheetId="4" r:id="rId3"/>
    <sheet name="Sheet2" sheetId="5" r:id="rId4"/>
    <sheet name="1 Pozo" sheetId="6" r:id="rId5"/>
    <sheet name="Diagrama stiff_PA (4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7" l="1"/>
  <c r="I19" i="7"/>
  <c r="H19" i="7"/>
  <c r="G19" i="7"/>
  <c r="F19" i="7"/>
  <c r="E19" i="7"/>
  <c r="D19" i="7"/>
  <c r="C19" i="7"/>
  <c r="B19" i="7"/>
  <c r="J18" i="7"/>
  <c r="I18" i="7"/>
  <c r="H18" i="7"/>
  <c r="G18" i="7"/>
  <c r="F18" i="7"/>
  <c r="E18" i="7"/>
  <c r="D18" i="7"/>
  <c r="C18" i="7"/>
  <c r="B18" i="7"/>
  <c r="J17" i="7"/>
  <c r="I17" i="7"/>
  <c r="H17" i="7"/>
  <c r="G17" i="7"/>
  <c r="F17" i="7"/>
  <c r="E17" i="7"/>
  <c r="D17" i="7"/>
  <c r="C17" i="7"/>
  <c r="B17" i="7"/>
  <c r="J16" i="7"/>
  <c r="I16" i="7"/>
  <c r="H16" i="7"/>
  <c r="G16" i="7"/>
  <c r="F16" i="7"/>
  <c r="E16" i="7"/>
  <c r="D16" i="7"/>
  <c r="C16" i="7"/>
  <c r="B16" i="7"/>
  <c r="J15" i="7"/>
  <c r="I15" i="7"/>
  <c r="H15" i="7"/>
  <c r="G15" i="7"/>
  <c r="F15" i="7"/>
  <c r="E15" i="7"/>
  <c r="D15" i="7"/>
  <c r="C15" i="7"/>
  <c r="B15" i="7"/>
  <c r="J14" i="7"/>
  <c r="I14" i="7"/>
  <c r="H14" i="7"/>
  <c r="G14" i="7"/>
  <c r="F14" i="7"/>
  <c r="E14" i="7"/>
  <c r="D14" i="7"/>
  <c r="C14" i="7"/>
  <c r="B14" i="7"/>
  <c r="J13" i="7"/>
  <c r="I13" i="7"/>
  <c r="H13" i="7"/>
  <c r="G13" i="7"/>
  <c r="F13" i="7"/>
  <c r="E13" i="7"/>
  <c r="D13" i="7"/>
  <c r="C13" i="7"/>
  <c r="B13" i="7"/>
  <c r="J12" i="7"/>
  <c r="I12" i="7"/>
  <c r="H12" i="7"/>
  <c r="G12" i="7"/>
  <c r="F12" i="7"/>
  <c r="E12" i="7"/>
  <c r="D12" i="7"/>
  <c r="C12" i="7"/>
  <c r="B12" i="7"/>
  <c r="J11" i="7"/>
  <c r="I11" i="7"/>
  <c r="H11" i="7"/>
  <c r="G11" i="7"/>
  <c r="F11" i="7"/>
  <c r="E11" i="7"/>
  <c r="D11" i="7"/>
  <c r="C11" i="7"/>
  <c r="B11" i="7"/>
  <c r="J10" i="7"/>
  <c r="I10" i="7"/>
  <c r="H10" i="7"/>
  <c r="G10" i="7"/>
  <c r="F10" i="7"/>
  <c r="E10" i="7"/>
  <c r="D10" i="7"/>
  <c r="C10" i="7"/>
  <c r="B10" i="7"/>
  <c r="J9" i="7"/>
  <c r="I9" i="7"/>
  <c r="H9" i="7"/>
  <c r="G9" i="7"/>
  <c r="F9" i="7"/>
  <c r="E9" i="7"/>
  <c r="D9" i="7"/>
  <c r="C9" i="7"/>
  <c r="B9" i="7"/>
  <c r="I19" i="6"/>
  <c r="H19" i="6"/>
  <c r="G19" i="6"/>
  <c r="F19" i="6"/>
  <c r="E19" i="6"/>
  <c r="D19" i="6"/>
  <c r="C19" i="6"/>
  <c r="B19" i="6"/>
  <c r="I18" i="6"/>
  <c r="H18" i="6"/>
  <c r="G18" i="6"/>
  <c r="F18" i="6"/>
  <c r="E18" i="6"/>
  <c r="D18" i="6"/>
  <c r="C18" i="6"/>
  <c r="B18" i="6"/>
  <c r="I17" i="6"/>
  <c r="H17" i="6"/>
  <c r="G17" i="6"/>
  <c r="F17" i="6"/>
  <c r="E17" i="6"/>
  <c r="D17" i="6"/>
  <c r="C17" i="6"/>
  <c r="B17" i="6"/>
  <c r="I16" i="6"/>
  <c r="H16" i="6"/>
  <c r="G16" i="6"/>
  <c r="F16" i="6"/>
  <c r="E16" i="6"/>
  <c r="D16" i="6"/>
  <c r="C16" i="6"/>
  <c r="B16" i="6"/>
  <c r="I15" i="6"/>
  <c r="H15" i="6"/>
  <c r="G15" i="6"/>
  <c r="F15" i="6"/>
  <c r="E15" i="6"/>
  <c r="D15" i="6"/>
  <c r="C15" i="6"/>
  <c r="B15" i="6"/>
  <c r="I14" i="6"/>
  <c r="H14" i="6"/>
  <c r="G14" i="6"/>
  <c r="F14" i="6"/>
  <c r="E14" i="6"/>
  <c r="D14" i="6"/>
  <c r="C14" i="6"/>
  <c r="B14" i="6"/>
  <c r="I13" i="6"/>
  <c r="H13" i="6"/>
  <c r="G13" i="6"/>
  <c r="F13" i="6"/>
  <c r="E13" i="6"/>
  <c r="D13" i="6"/>
  <c r="C13" i="6"/>
  <c r="B13" i="6"/>
  <c r="I12" i="6"/>
  <c r="H12" i="6"/>
  <c r="G12" i="6"/>
  <c r="F12" i="6"/>
  <c r="E12" i="6"/>
  <c r="D12" i="6"/>
  <c r="C12" i="6"/>
  <c r="B12" i="6"/>
  <c r="I11" i="6"/>
  <c r="H11" i="6"/>
  <c r="G11" i="6"/>
  <c r="F11" i="6"/>
  <c r="E11" i="6"/>
  <c r="D11" i="6"/>
  <c r="C11" i="6"/>
  <c r="B11" i="6"/>
  <c r="I10" i="6"/>
  <c r="H10" i="6"/>
  <c r="G10" i="6"/>
  <c r="F10" i="6"/>
  <c r="E10" i="6"/>
  <c r="D10" i="6"/>
  <c r="C10" i="6"/>
  <c r="B10" i="6"/>
  <c r="I9" i="6"/>
  <c r="H9" i="6"/>
  <c r="G9" i="6"/>
  <c r="F9" i="6"/>
  <c r="E9" i="6"/>
  <c r="D9" i="6"/>
  <c r="C9" i="6"/>
  <c r="B9" i="6"/>
  <c r="J19" i="3"/>
  <c r="I19" i="3"/>
  <c r="H19" i="3"/>
  <c r="G19" i="3"/>
  <c r="F19" i="3"/>
  <c r="E19" i="3"/>
  <c r="D19" i="3"/>
  <c r="C19" i="3"/>
  <c r="B19" i="3"/>
  <c r="J18" i="3"/>
  <c r="I18" i="3"/>
  <c r="H18" i="3"/>
  <c r="G18" i="3"/>
  <c r="F18" i="3"/>
  <c r="E18" i="3"/>
  <c r="D18" i="3"/>
  <c r="C18" i="3"/>
  <c r="B18" i="3"/>
  <c r="J17" i="3"/>
  <c r="I17" i="3"/>
  <c r="H17" i="3"/>
  <c r="G17" i="3"/>
  <c r="F17" i="3"/>
  <c r="E17" i="3"/>
  <c r="D17" i="3"/>
  <c r="C17" i="3"/>
  <c r="B17" i="3"/>
  <c r="J16" i="3"/>
  <c r="I16" i="3"/>
  <c r="H16" i="3"/>
  <c r="G16" i="3"/>
  <c r="F16" i="3"/>
  <c r="E16" i="3"/>
  <c r="D16" i="3"/>
  <c r="C16" i="3"/>
  <c r="B16" i="3"/>
  <c r="J15" i="3"/>
  <c r="I15" i="3"/>
  <c r="H15" i="3"/>
  <c r="G15" i="3"/>
  <c r="F15" i="3"/>
  <c r="E15" i="3"/>
  <c r="D15" i="3"/>
  <c r="C15" i="3"/>
  <c r="B15" i="3"/>
  <c r="J14" i="3"/>
  <c r="I14" i="3"/>
  <c r="H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19" i="2" l="1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C18" i="2"/>
  <c r="B18" i="2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J14" i="2"/>
  <c r="I14" i="2"/>
  <c r="H14" i="2"/>
  <c r="G14" i="2"/>
  <c r="F14" i="2"/>
  <c r="E14" i="2"/>
  <c r="D14" i="2"/>
  <c r="C14" i="2"/>
  <c r="B14" i="2"/>
  <c r="J13" i="2"/>
  <c r="I13" i="2"/>
  <c r="H13" i="2"/>
  <c r="G13" i="2"/>
  <c r="F13" i="2"/>
  <c r="E13" i="2"/>
  <c r="D13" i="2"/>
  <c r="C13" i="2"/>
  <c r="B13" i="2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J10" i="2"/>
  <c r="I10" i="2"/>
  <c r="H10" i="2"/>
  <c r="G10" i="2"/>
  <c r="F10" i="2"/>
  <c r="E10" i="2"/>
  <c r="D10" i="2"/>
  <c r="C10" i="2"/>
  <c r="B10" i="2"/>
  <c r="J9" i="2"/>
  <c r="I9" i="2"/>
  <c r="H9" i="2"/>
  <c r="G9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<sst xmlns="http://schemas.openxmlformats.org/spreadsheetml/2006/main" count="110" uniqueCount="32">
  <si>
    <t>y</t>
  </si>
  <si>
    <t>Pozo</t>
  </si>
  <si>
    <t>Fecha de muestra</t>
  </si>
  <si>
    <t xml:space="preserve">Na </t>
  </si>
  <si>
    <t xml:space="preserve">Ca </t>
  </si>
  <si>
    <t xml:space="preserve">Mg </t>
  </si>
  <si>
    <t xml:space="preserve">Fe </t>
  </si>
  <si>
    <t>Cl</t>
  </si>
  <si>
    <t>HCO3</t>
  </si>
  <si>
    <t>SO4</t>
  </si>
  <si>
    <t>CO3</t>
  </si>
  <si>
    <t>Coyula-1649</t>
  </si>
  <si>
    <t>Coyula-1663</t>
  </si>
  <si>
    <t>Coyula-1708</t>
  </si>
  <si>
    <t>Coyula-1728</t>
  </si>
  <si>
    <t>Coyula-1746</t>
  </si>
  <si>
    <t>Coyula-1788</t>
  </si>
  <si>
    <t>Salinidad (ppm)</t>
  </si>
  <si>
    <t>Muestra</t>
  </si>
  <si>
    <t>Ion</t>
  </si>
  <si>
    <t>Posición</t>
  </si>
  <si>
    <t>Valor</t>
  </si>
  <si>
    <t>POZO 1</t>
  </si>
  <si>
    <t>FOPR.BGMA_DPDP_S2B_009_MINI_COMP_DEPL_Hv2_400_2</t>
  </si>
  <si>
    <t>FOPR.BGMA_DPDP_S2B_009_MINI_COMP_DEPL_CO2_10M_Hv2_400</t>
  </si>
  <si>
    <t>FOPR.BGMA_DPDP_S2B_009_MINI_COMP_DEPL_C1_10M_Hv2_400</t>
  </si>
  <si>
    <t>FOPR.BGMA_DPDP_S2B_009_MINI_COMP_DEPL_CO2_1M_Hv2_400</t>
  </si>
  <si>
    <t>FOPR.BGMA_DPDP_S2B_009_MINI_COMP_DEPL_C1_1M_Hv2</t>
  </si>
  <si>
    <t>Pozo-1</t>
  </si>
  <si>
    <t>POZO-1</t>
  </si>
  <si>
    <t>POZO-2</t>
  </si>
  <si>
    <t>POZO-3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</si>
</sst>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3" fillId="0" borderId="0" xfId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2" fontId="1" fillId="0" borderId="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3" fillId="3" borderId="0" xfId="1" applyFill="1"/>
    <xf numFmtId="0" fontId="1" fillId="3" borderId="0" xfId="0" applyFont="1" applyFill="1"/>
  </cellXfs>
  <cellStyles count="2">
    <cellStyle name="Normal" xfId="0" builtinId="0"/>
    <cellStyle name="Normal 2" xfId="1" xr:uid="{8B67D412-A6EC-40F6-884E-3F525C7DF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Stiff</a:t>
            </a:r>
          </a:p>
        </c:rich>
      </c:tx>
      <c:layout>
        <c:manualLayout>
          <c:xMode val="edge"/>
          <c:yMode val="edge"/>
          <c:x val="5.4801240753996665E-2"/>
          <c:y val="1.89046468961770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403351160899769E-2"/>
          <c:y val="0.14539728883146424"/>
          <c:w val="0.75975778751095413"/>
          <c:h val="0.826056136420341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'Diagrama stiff_EI'!$A$3</c:f>
              <c:strCache>
                <c:ptCount val="1"/>
                <c:pt idx="0">
                  <c:v>POZO-1</c:v>
                </c:pt>
              </c:strCache>
            </c:strRef>
          </c:tx>
          <c:xVal>
            <c:numRef>
              <c:f>'Diagrama stiff_EI'!$G$3:$J$3</c:f>
              <c:numCache>
                <c:formatCode>0.00</c:formatCode>
                <c:ptCount val="4"/>
                <c:pt idx="0">
                  <c:v>256.18</c:v>
                </c:pt>
                <c:pt idx="1">
                  <c:v>31.45</c:v>
                </c:pt>
                <c:pt idx="2">
                  <c:v>7.8075000000000001</c:v>
                </c:pt>
                <c:pt idx="3">
                  <c:v>1</c:v>
                </c:pt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3-4C19-A65F-07DD50FBE79F}"/>
            </c:ext>
          </c:extLst>
        </c:ser>
        <c:ser>
          <c:idx val="1"/>
          <c:order val="1"/>
          <c:tx>
            <c:strRef>
              <c:f>'Diagrama stiff_EI'!$A$4</c:f>
              <c:strCache>
                <c:ptCount val="1"/>
                <c:pt idx="0">
                  <c:v>POZO-2</c:v>
                </c:pt>
              </c:strCache>
            </c:strRef>
          </c:tx>
          <c:xVal>
            <c:numRef>
              <c:f>'Diagrama stiff_EI'!$G$4:$J$4</c:f>
              <c:numCache>
                <c:formatCode>0.00</c:formatCode>
                <c:ptCount val="4"/>
                <c:pt idx="0">
                  <c:v>152.11000000000001</c:v>
                </c:pt>
                <c:pt idx="1">
                  <c:v>20.405000000000001</c:v>
                </c:pt>
                <c:pt idx="2">
                  <c:v>11.971500000000001</c:v>
                </c:pt>
                <c:pt idx="3">
                  <c:v>1</c:v>
                </c:pt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3-4C19-A65F-07DD50FBE79F}"/>
            </c:ext>
          </c:extLst>
        </c:ser>
        <c:ser>
          <c:idx val="2"/>
          <c:order val="2"/>
          <c:tx>
            <c:strRef>
              <c:f>'Diagrama stiff_EI'!$A$5</c:f>
              <c:strCache>
                <c:ptCount val="1"/>
                <c:pt idx="0">
                  <c:v>POZO-3</c:v>
                </c:pt>
              </c:strCache>
            </c:strRef>
          </c:tx>
          <c:xVal>
            <c:numRef>
              <c:f>'Diagrama stiff_EI'!$G$5:$J$5</c:f>
              <c:numCache>
                <c:formatCode>0.00</c:formatCode>
                <c:ptCount val="4"/>
                <c:pt idx="0">
                  <c:v>560.63</c:v>
                </c:pt>
                <c:pt idx="1">
                  <c:v>26.667000000000002</c:v>
                </c:pt>
                <c:pt idx="2">
                  <c:v>10.670999999999999</c:v>
                </c:pt>
                <c:pt idx="3">
                  <c:v>1</c:v>
                </c:pt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73-4C19-A65F-07DD50FBE79F}"/>
            </c:ext>
          </c:extLst>
        </c:ser>
        <c:ser>
          <c:idx val="3"/>
          <c:order val="3"/>
          <c:tx>
            <c:strRef>
              <c:f>'Diagrama stiff_EI'!$A$6</c:f>
              <c:strCache>
                <c:ptCount val="1"/>
              </c:strCache>
            </c:strRef>
          </c:tx>
          <c:xVal>
            <c:numRef>
              <c:f>'Diagrama stiff_EI'!$G$6:$J$6</c:f>
              <c:numCache>
                <c:formatCode>0.00</c:formatCode>
                <c:ptCount val="4"/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73-4C19-A65F-07DD50FBE79F}"/>
            </c:ext>
          </c:extLst>
        </c:ser>
        <c:ser>
          <c:idx val="4"/>
          <c:order val="4"/>
          <c:tx>
            <c:strRef>
              <c:f>'Diagrama stiff_EI'!$A$7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stiff_EI'!$G$7:$J$7</c:f>
              <c:numCache>
                <c:formatCode>0.00</c:formatCode>
                <c:ptCount val="4"/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73-4C19-A65F-07DD50FBE79F}"/>
            </c:ext>
          </c:extLst>
        </c:ser>
        <c:ser>
          <c:idx val="5"/>
          <c:order val="5"/>
          <c:tx>
            <c:strRef>
              <c:f>'Diagrama stiff_EI'!$A$8</c:f>
              <c:strCache>
                <c:ptCount val="1"/>
              </c:strCache>
            </c:strRef>
          </c:tx>
          <c:xVal>
            <c:numRef>
              <c:f>'Diagrama stiff_EI'!$G$8:$J$8</c:f>
              <c:numCache>
                <c:formatCode>0.00</c:formatCode>
                <c:ptCount val="4"/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73-4C19-A65F-07DD50FB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13728"/>
        <c:axId val="191562112"/>
      </c:scatterChart>
      <c:valAx>
        <c:axId val="189913728"/>
        <c:scaling>
          <c:logBase val="10"/>
          <c:orientation val="minMax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1562112"/>
        <c:crossesAt val="1"/>
        <c:crossBetween val="midCat"/>
      </c:valAx>
      <c:valAx>
        <c:axId val="191562112"/>
        <c:scaling>
          <c:orientation val="maxMin"/>
          <c:max val="4"/>
          <c:min val="1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89913728"/>
        <c:crossesAt val="10000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6271212641213597"/>
          <c:y val="0.6693039723876768"/>
          <c:w val="0.22535084778104"/>
          <c:h val="0.28156649380016213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/>
            </a:pPr>
            <a:r>
              <a:rPr lang="en-US"/>
              <a:t>Diagrama</a:t>
            </a:r>
          </a:p>
        </c:rich>
      </c:tx>
      <c:layout>
        <c:manualLayout>
          <c:xMode val="edge"/>
          <c:yMode val="edge"/>
          <c:x val="0.72139308625809084"/>
          <c:y val="1.890464689617701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'Diagrama stiff_EI'!$A$3</c:f>
              <c:strCache>
                <c:ptCount val="1"/>
                <c:pt idx="0">
                  <c:v>POZO-1</c:v>
                </c:pt>
              </c:strCache>
            </c:strRef>
          </c:tx>
          <c:xVal>
            <c:numRef>
              <c:f>'Diagrama stiff_EI'!$C$3:$F$3</c:f>
              <c:numCache>
                <c:formatCode>0.00</c:formatCode>
                <c:ptCount val="4"/>
                <c:pt idx="0">
                  <c:v>275.04000000000002</c:v>
                </c:pt>
                <c:pt idx="1">
                  <c:v>13.42</c:v>
                </c:pt>
                <c:pt idx="2">
                  <c:v>4.24</c:v>
                </c:pt>
                <c:pt idx="3">
                  <c:v>2.7298</c:v>
                </c:pt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0-4E64-A5A8-42F70EB43646}"/>
            </c:ext>
          </c:extLst>
        </c:ser>
        <c:ser>
          <c:idx val="1"/>
          <c:order val="1"/>
          <c:tx>
            <c:strRef>
              <c:f>'Diagrama stiff_EI'!$A$4</c:f>
              <c:strCache>
                <c:ptCount val="1"/>
                <c:pt idx="0">
                  <c:v>POZO-2</c:v>
                </c:pt>
              </c:strCache>
            </c:strRef>
          </c:tx>
          <c:xVal>
            <c:numRef>
              <c:f>'Diagrama stiff_EI'!$C$4:$F$4</c:f>
              <c:numCache>
                <c:formatCode>0.00</c:formatCode>
                <c:ptCount val="4"/>
                <c:pt idx="0">
                  <c:v>173.6</c:v>
                </c:pt>
                <c:pt idx="1">
                  <c:v>6.24</c:v>
                </c:pt>
                <c:pt idx="2">
                  <c:v>3.65</c:v>
                </c:pt>
                <c:pt idx="3">
                  <c:v>0.98450000000000004</c:v>
                </c:pt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40-4E64-A5A8-42F70EB43646}"/>
            </c:ext>
          </c:extLst>
        </c:ser>
        <c:ser>
          <c:idx val="2"/>
          <c:order val="2"/>
          <c:tx>
            <c:strRef>
              <c:f>'Diagrama stiff_EI'!$A$5</c:f>
              <c:strCache>
                <c:ptCount val="1"/>
                <c:pt idx="0">
                  <c:v>POZO-3</c:v>
                </c:pt>
              </c:strCache>
            </c:strRef>
          </c:tx>
          <c:xVal>
            <c:numRef>
              <c:f>'Diagrama stiff_EI'!$C$5:$F$5</c:f>
              <c:numCache>
                <c:formatCode>0.00</c:formatCode>
                <c:ptCount val="4"/>
                <c:pt idx="0">
                  <c:v>560</c:v>
                </c:pt>
                <c:pt idx="1">
                  <c:v>22.997</c:v>
                </c:pt>
                <c:pt idx="2">
                  <c:v>14.5</c:v>
                </c:pt>
                <c:pt idx="3">
                  <c:v>1</c:v>
                </c:pt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40-4E64-A5A8-42F70EB43646}"/>
            </c:ext>
          </c:extLst>
        </c:ser>
        <c:ser>
          <c:idx val="3"/>
          <c:order val="3"/>
          <c:tx>
            <c:strRef>
              <c:f>'Diagrama stiff_EI'!$A$6</c:f>
              <c:strCache>
                <c:ptCount val="1"/>
              </c:strCache>
            </c:strRef>
          </c:tx>
          <c:xVal>
            <c:numRef>
              <c:f>'Diagrama stiff_EI'!$C$6:$F$6</c:f>
              <c:numCache>
                <c:formatCode>0.00</c:formatCode>
                <c:ptCount val="4"/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40-4E64-A5A8-42F70EB43646}"/>
            </c:ext>
          </c:extLst>
        </c:ser>
        <c:ser>
          <c:idx val="4"/>
          <c:order val="4"/>
          <c:tx>
            <c:strRef>
              <c:f>'Diagrama stiff_EI'!$A$7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stiff_EI'!$C$7:$F$7</c:f>
              <c:numCache>
                <c:formatCode>0.00</c:formatCode>
                <c:ptCount val="4"/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40-4E64-A5A8-42F70EB43646}"/>
            </c:ext>
          </c:extLst>
        </c:ser>
        <c:ser>
          <c:idx val="5"/>
          <c:order val="5"/>
          <c:tx>
            <c:strRef>
              <c:f>'Diagrama stiff_EI'!$A$8</c:f>
              <c:strCache>
                <c:ptCount val="1"/>
              </c:strCache>
            </c:strRef>
          </c:tx>
          <c:xVal>
            <c:numRef>
              <c:f>'Diagrama stiff_EI'!$C$8:$F$8</c:f>
              <c:numCache>
                <c:formatCode>0.00</c:formatCode>
                <c:ptCount val="4"/>
              </c:numCache>
            </c:numRef>
          </c:xVal>
          <c:yVal>
            <c:numRef>
              <c:f>'Diagrama stiff_EI'!$E$1:$H$1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40-4E64-A5A8-42F70EB43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63744"/>
        <c:axId val="192065536"/>
      </c:scatterChart>
      <c:valAx>
        <c:axId val="192063744"/>
        <c:scaling>
          <c:logBase val="10"/>
          <c:orientation val="maxMin"/>
          <c:min val="1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2065536"/>
        <c:crossesAt val="1"/>
        <c:crossBetween val="midCat"/>
      </c:valAx>
      <c:valAx>
        <c:axId val="192065536"/>
        <c:scaling>
          <c:orientation val="maxMin"/>
          <c:max val="4"/>
          <c:min val="1"/>
        </c:scaling>
        <c:delete val="1"/>
        <c:axPos val="r"/>
        <c:majorGridlines/>
        <c:numFmt formatCode="General" sourceLinked="1"/>
        <c:majorTickMark val="out"/>
        <c:minorTickMark val="none"/>
        <c:tickLblPos val="nextTo"/>
        <c:crossAx val="192063744"/>
        <c:crossesAt val="10000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Stiff</a:t>
            </a:r>
          </a:p>
        </c:rich>
      </c:tx>
      <c:layout>
        <c:manualLayout>
          <c:xMode val="edge"/>
          <c:yMode val="edge"/>
          <c:x val="5.4801240753996665E-2"/>
          <c:y val="1.89046468961770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403351160899769E-2"/>
          <c:y val="0.14539728883146424"/>
          <c:w val="0.75975778751095413"/>
          <c:h val="0.826056136420341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'Diagrama stiff_PA'!$A$3</c:f>
              <c:strCache>
                <c:ptCount val="1"/>
                <c:pt idx="0">
                  <c:v>Coyula-1649</c:v>
                </c:pt>
              </c:strCache>
            </c:strRef>
          </c:tx>
          <c:xVal>
            <c:numRef>
              <c:f>'Diagrama stiff_PA'!$G$3:$J$3</c:f>
              <c:numCache>
                <c:formatCode>0.00</c:formatCode>
                <c:ptCount val="4"/>
                <c:pt idx="0">
                  <c:v>446.31</c:v>
                </c:pt>
                <c:pt idx="1">
                  <c:v>23.731999999999999</c:v>
                </c:pt>
                <c:pt idx="2">
                  <c:v>1.6656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4-4AAD-8CF1-D4718EF2ADF3}"/>
            </c:ext>
          </c:extLst>
        </c:ser>
        <c:ser>
          <c:idx val="1"/>
          <c:order val="1"/>
          <c:tx>
            <c:strRef>
              <c:f>'Diagrama stiff_PA'!$A$4</c:f>
              <c:strCache>
                <c:ptCount val="1"/>
                <c:pt idx="0">
                  <c:v>Coyula-1663</c:v>
                </c:pt>
              </c:strCache>
            </c:strRef>
          </c:tx>
          <c:xVal>
            <c:numRef>
              <c:f>'Diagrama stiff_PA'!$G$4:$J$4</c:f>
              <c:numCache>
                <c:formatCode>0.00</c:formatCode>
                <c:ptCount val="4"/>
                <c:pt idx="0">
                  <c:v>1025.55</c:v>
                </c:pt>
                <c:pt idx="1">
                  <c:v>19.228999999999999</c:v>
                </c:pt>
                <c:pt idx="2">
                  <c:v>7.07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4-4AAD-8CF1-D4718EF2ADF3}"/>
            </c:ext>
          </c:extLst>
        </c:ser>
        <c:ser>
          <c:idx val="2"/>
          <c:order val="2"/>
          <c:tx>
            <c:strRef>
              <c:f>'Diagrama stiff_PA'!$A$5</c:f>
              <c:strCache>
                <c:ptCount val="1"/>
                <c:pt idx="0">
                  <c:v>Coyula-1708</c:v>
                </c:pt>
              </c:strCache>
            </c:strRef>
          </c:tx>
          <c:xVal>
            <c:numRef>
              <c:f>'Diagrama stiff_PA'!$G$5:$J$5</c:f>
              <c:numCache>
                <c:formatCode>0.00</c:formatCode>
                <c:ptCount val="4"/>
                <c:pt idx="0">
                  <c:v>560.63</c:v>
                </c:pt>
                <c:pt idx="1">
                  <c:v>26.667000000000002</c:v>
                </c:pt>
                <c:pt idx="2">
                  <c:v>10.670999999999999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54-4AAD-8CF1-D4718EF2ADF3}"/>
            </c:ext>
          </c:extLst>
        </c:ser>
        <c:ser>
          <c:idx val="3"/>
          <c:order val="3"/>
          <c:tx>
            <c:strRef>
              <c:f>'Diagrama stiff_PA'!$A$6</c:f>
              <c:strCache>
                <c:ptCount val="1"/>
                <c:pt idx="0">
                  <c:v>Coyula-1728</c:v>
                </c:pt>
              </c:strCache>
            </c:strRef>
          </c:tx>
          <c:xVal>
            <c:numRef>
              <c:f>'Diagrama stiff_PA'!$G$6:$J$6</c:f>
              <c:numCache>
                <c:formatCode>0.00</c:formatCode>
                <c:ptCount val="4"/>
                <c:pt idx="0">
                  <c:v>299.10000000000002</c:v>
                </c:pt>
                <c:pt idx="1">
                  <c:v>36.229999999999997</c:v>
                </c:pt>
                <c:pt idx="2">
                  <c:v>1.45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54-4AAD-8CF1-D4718EF2ADF3}"/>
            </c:ext>
          </c:extLst>
        </c:ser>
        <c:ser>
          <c:idx val="4"/>
          <c:order val="4"/>
          <c:tx>
            <c:strRef>
              <c:f>'Diagrama stiff_PA'!$A$7</c:f>
              <c:strCache>
                <c:ptCount val="1"/>
                <c:pt idx="0">
                  <c:v>Coyula-1746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stiff_PA'!$G$7:$J$7</c:f>
              <c:numCache>
                <c:formatCode>0.00</c:formatCode>
                <c:ptCount val="4"/>
                <c:pt idx="0">
                  <c:v>53.27</c:v>
                </c:pt>
                <c:pt idx="1">
                  <c:v>20.192</c:v>
                </c:pt>
                <c:pt idx="2">
                  <c:v>7.8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54-4AAD-8CF1-D4718EF2ADF3}"/>
            </c:ext>
          </c:extLst>
        </c:ser>
        <c:ser>
          <c:idx val="5"/>
          <c:order val="5"/>
          <c:tx>
            <c:strRef>
              <c:f>'Diagrama stiff_PA'!$A$8</c:f>
              <c:strCache>
                <c:ptCount val="1"/>
                <c:pt idx="0">
                  <c:v>Coyula-1788</c:v>
                </c:pt>
              </c:strCache>
            </c:strRef>
          </c:tx>
          <c:xVal>
            <c:numRef>
              <c:f>'Diagrama stiff_PA'!$G$8:$J$8</c:f>
              <c:numCache>
                <c:formatCode>0.00</c:formatCode>
                <c:ptCount val="4"/>
                <c:pt idx="0">
                  <c:v>1061.3</c:v>
                </c:pt>
                <c:pt idx="1">
                  <c:v>15.329000000000001</c:v>
                </c:pt>
                <c:pt idx="2">
                  <c:v>1.0409999999999999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54-4AAD-8CF1-D4718EF2A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13728"/>
        <c:axId val="191562112"/>
      </c:scatterChart>
      <c:valAx>
        <c:axId val="189913728"/>
        <c:scaling>
          <c:logBase val="10"/>
          <c:orientation val="minMax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1562112"/>
        <c:crossesAt val="1"/>
        <c:crossBetween val="midCat"/>
      </c:valAx>
      <c:valAx>
        <c:axId val="191562112"/>
        <c:scaling>
          <c:orientation val="maxMin"/>
          <c:max val="4"/>
          <c:min val="1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89913728"/>
        <c:crossesAt val="10000"/>
        <c:crossBetween val="midCat"/>
      </c:valAx>
    </c:plotArea>
    <c:legend>
      <c:legendPos val="r"/>
      <c:layout>
        <c:manualLayout>
          <c:xMode val="edge"/>
          <c:yMode val="edge"/>
          <c:x val="0.56271212641213597"/>
          <c:y val="0.6693039723876768"/>
          <c:w val="0.22535084778104"/>
          <c:h val="0.28156649380016213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/>
            </a:pPr>
            <a:r>
              <a:rPr lang="en-US"/>
              <a:t>Diagrama</a:t>
            </a:r>
          </a:p>
        </c:rich>
      </c:tx>
      <c:layout>
        <c:manualLayout>
          <c:xMode val="edge"/>
          <c:yMode val="edge"/>
          <c:x val="0.72139308625809084"/>
          <c:y val="1.890464689617701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'Diagrama stiff_PA'!$A$3</c:f>
              <c:strCache>
                <c:ptCount val="1"/>
                <c:pt idx="0">
                  <c:v>Coyula-1649</c:v>
                </c:pt>
              </c:strCache>
            </c:strRef>
          </c:tx>
          <c:xVal>
            <c:numRef>
              <c:f>'Diagrama stiff_PA'!$C$3:$F$3</c:f>
              <c:numCache>
                <c:formatCode>0.00</c:formatCode>
                <c:ptCount val="4"/>
                <c:pt idx="0">
                  <c:v>447.72</c:v>
                </c:pt>
                <c:pt idx="1">
                  <c:v>15.83</c:v>
                </c:pt>
                <c:pt idx="2">
                  <c:v>5.87</c:v>
                </c:pt>
                <c:pt idx="3">
                  <c:v>2.2911999999999999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5-45B4-A2E4-CE35E8794EF3}"/>
            </c:ext>
          </c:extLst>
        </c:ser>
        <c:ser>
          <c:idx val="1"/>
          <c:order val="1"/>
          <c:tx>
            <c:strRef>
              <c:f>'Diagrama stiff_PA'!$A$4</c:f>
              <c:strCache>
                <c:ptCount val="1"/>
                <c:pt idx="0">
                  <c:v>Coyula-1663</c:v>
                </c:pt>
              </c:strCache>
            </c:strRef>
          </c:tx>
          <c:xVal>
            <c:numRef>
              <c:f>'Diagrama stiff_PA'!$C$4:$F$4</c:f>
              <c:numCache>
                <c:formatCode>0.00</c:formatCode>
                <c:ptCount val="4"/>
                <c:pt idx="0">
                  <c:v>962.13</c:v>
                </c:pt>
                <c:pt idx="1">
                  <c:v>52.929000000000002</c:v>
                </c:pt>
                <c:pt idx="2">
                  <c:v>36.648000000000003</c:v>
                </c:pt>
                <c:pt idx="3">
                  <c:v>1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05-45B4-A2E4-CE35E8794EF3}"/>
            </c:ext>
          </c:extLst>
        </c:ser>
        <c:ser>
          <c:idx val="2"/>
          <c:order val="2"/>
          <c:tx>
            <c:strRef>
              <c:f>'Diagrama stiff_PA'!$A$5</c:f>
              <c:strCache>
                <c:ptCount val="1"/>
                <c:pt idx="0">
                  <c:v>Coyula-1708</c:v>
                </c:pt>
              </c:strCache>
            </c:strRef>
          </c:tx>
          <c:xVal>
            <c:numRef>
              <c:f>'Diagrama stiff_PA'!$C$5:$F$5</c:f>
              <c:numCache>
                <c:formatCode>0.00</c:formatCode>
                <c:ptCount val="4"/>
                <c:pt idx="0">
                  <c:v>273.58999999999997</c:v>
                </c:pt>
                <c:pt idx="1">
                  <c:v>21.64</c:v>
                </c:pt>
                <c:pt idx="2">
                  <c:v>7.47</c:v>
                </c:pt>
                <c:pt idx="3">
                  <c:v>2.9177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05-45B4-A2E4-CE35E8794EF3}"/>
            </c:ext>
          </c:extLst>
        </c:ser>
        <c:ser>
          <c:idx val="3"/>
          <c:order val="3"/>
          <c:tx>
            <c:strRef>
              <c:f>'Diagrama stiff_PA'!$A$6</c:f>
              <c:strCache>
                <c:ptCount val="1"/>
                <c:pt idx="0">
                  <c:v>Coyula-1728</c:v>
                </c:pt>
              </c:strCache>
            </c:strRef>
          </c:tx>
          <c:xVal>
            <c:numRef>
              <c:f>'Diagrama stiff_PA'!$C$6:$F$6</c:f>
              <c:numCache>
                <c:formatCode>0.00</c:formatCode>
                <c:ptCount val="4"/>
                <c:pt idx="0">
                  <c:v>316.94</c:v>
                </c:pt>
                <c:pt idx="1">
                  <c:v>12.98</c:v>
                </c:pt>
                <c:pt idx="2">
                  <c:v>4.72</c:v>
                </c:pt>
                <c:pt idx="3">
                  <c:v>2.14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05-45B4-A2E4-CE35E8794EF3}"/>
            </c:ext>
          </c:extLst>
        </c:ser>
        <c:ser>
          <c:idx val="4"/>
          <c:order val="4"/>
          <c:tx>
            <c:strRef>
              <c:f>'Diagrama stiff_PA'!$A$7</c:f>
              <c:strCache>
                <c:ptCount val="1"/>
                <c:pt idx="0">
                  <c:v>Coyula-1746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stiff_PA'!$C$7:$F$7</c:f>
              <c:numCache>
                <c:formatCode>0.00</c:formatCode>
                <c:ptCount val="4"/>
                <c:pt idx="0">
                  <c:v>73.33</c:v>
                </c:pt>
                <c:pt idx="1">
                  <c:v>4.83</c:v>
                </c:pt>
                <c:pt idx="2">
                  <c:v>1.88</c:v>
                </c:pt>
                <c:pt idx="3">
                  <c:v>1.12262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05-45B4-A2E4-CE35E8794EF3}"/>
            </c:ext>
          </c:extLst>
        </c:ser>
        <c:ser>
          <c:idx val="5"/>
          <c:order val="5"/>
          <c:tx>
            <c:strRef>
              <c:f>'Diagrama stiff_PA'!$A$8</c:f>
              <c:strCache>
                <c:ptCount val="1"/>
                <c:pt idx="0">
                  <c:v>Coyula-1788</c:v>
                </c:pt>
              </c:strCache>
            </c:strRef>
          </c:tx>
          <c:xVal>
            <c:numRef>
              <c:f>'Diagrama stiff_PA'!$C$8:$F$8</c:f>
              <c:numCache>
                <c:formatCode>0.00</c:formatCode>
                <c:ptCount val="4"/>
                <c:pt idx="0">
                  <c:v>976.55</c:v>
                </c:pt>
                <c:pt idx="1">
                  <c:v>75.790000000000006</c:v>
                </c:pt>
                <c:pt idx="2">
                  <c:v>21.38</c:v>
                </c:pt>
                <c:pt idx="3">
                  <c:v>3.9483999999999999</c:v>
                </c:pt>
              </c:numCache>
            </c:numRef>
          </c:xVal>
          <c:yVal>
            <c:numRef>
              <c:f>'Diagrama stiff_PA'!$E$1:$H$1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05-45B4-A2E4-CE35E879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63744"/>
        <c:axId val="192065536"/>
      </c:scatterChart>
      <c:valAx>
        <c:axId val="192063744"/>
        <c:scaling>
          <c:logBase val="10"/>
          <c:orientation val="maxMin"/>
          <c:min val="1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2065536"/>
        <c:crossesAt val="1"/>
        <c:crossBetween val="midCat"/>
      </c:valAx>
      <c:valAx>
        <c:axId val="192065536"/>
        <c:scaling>
          <c:orientation val="maxMin"/>
          <c:max val="4"/>
          <c:min val="1"/>
        </c:scaling>
        <c:delete val="1"/>
        <c:axPos val="r"/>
        <c:majorGridlines/>
        <c:numFmt formatCode="General" sourceLinked="1"/>
        <c:majorTickMark val="out"/>
        <c:minorTickMark val="none"/>
        <c:tickLblPos val="nextTo"/>
        <c:crossAx val="192063744"/>
        <c:crossesAt val="10000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Stiff</a:t>
            </a:r>
          </a:p>
        </c:rich>
      </c:tx>
      <c:layout>
        <c:manualLayout>
          <c:xMode val="edge"/>
          <c:yMode val="edge"/>
          <c:x val="5.4801240753996665E-2"/>
          <c:y val="1.89046468961770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403351160899769E-2"/>
          <c:y val="0.14539728883146424"/>
          <c:w val="0.75975778751095413"/>
          <c:h val="0.826056136420341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'Diagrama stiff_PA (2)'!$A$3</c:f>
              <c:strCache>
                <c:ptCount val="1"/>
                <c:pt idx="0">
                  <c:v>Coyula-1649</c:v>
                </c:pt>
              </c:strCache>
            </c:strRef>
          </c:tx>
          <c:xVal>
            <c:numRef>
              <c:f>'Diagrama stiff_PA (2)'!$G$3:$J$3</c:f>
              <c:numCache>
                <c:formatCode>0.00</c:formatCode>
                <c:ptCount val="4"/>
                <c:pt idx="0">
                  <c:v>446.31</c:v>
                </c:pt>
                <c:pt idx="1">
                  <c:v>23.731999999999999</c:v>
                </c:pt>
                <c:pt idx="2">
                  <c:v>1.6656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DC-464A-B5DD-1025640DBD95}"/>
            </c:ext>
          </c:extLst>
        </c:ser>
        <c:ser>
          <c:idx val="1"/>
          <c:order val="1"/>
          <c:tx>
            <c:strRef>
              <c:f>'Diagrama stiff_PA (2)'!$A$4</c:f>
              <c:strCache>
                <c:ptCount val="1"/>
                <c:pt idx="0">
                  <c:v>Coyula-1663</c:v>
                </c:pt>
              </c:strCache>
            </c:strRef>
          </c:tx>
          <c:xVal>
            <c:numRef>
              <c:f>'Diagrama stiff_PA (2)'!$G$4:$J$4</c:f>
              <c:numCache>
                <c:formatCode>0.00</c:formatCode>
                <c:ptCount val="4"/>
                <c:pt idx="0">
                  <c:v>1025.55</c:v>
                </c:pt>
                <c:pt idx="1">
                  <c:v>19.228999999999999</c:v>
                </c:pt>
                <c:pt idx="2">
                  <c:v>7.07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DC-464A-B5DD-1025640DBD95}"/>
            </c:ext>
          </c:extLst>
        </c:ser>
        <c:ser>
          <c:idx val="2"/>
          <c:order val="2"/>
          <c:tx>
            <c:strRef>
              <c:f>'Diagrama stiff_PA (2)'!$A$5</c:f>
              <c:strCache>
                <c:ptCount val="1"/>
                <c:pt idx="0">
                  <c:v>Coyula-1708</c:v>
                </c:pt>
              </c:strCache>
            </c:strRef>
          </c:tx>
          <c:xVal>
            <c:numRef>
              <c:f>'Diagrama stiff_PA (2)'!$G$5:$J$5</c:f>
              <c:numCache>
                <c:formatCode>0.00</c:formatCode>
                <c:ptCount val="4"/>
                <c:pt idx="0">
                  <c:v>560.63</c:v>
                </c:pt>
                <c:pt idx="1">
                  <c:v>26.667000000000002</c:v>
                </c:pt>
                <c:pt idx="2">
                  <c:v>10.670999999999999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DC-464A-B5DD-1025640DBD95}"/>
            </c:ext>
          </c:extLst>
        </c:ser>
        <c:ser>
          <c:idx val="3"/>
          <c:order val="3"/>
          <c:tx>
            <c:strRef>
              <c:f>'Diagrama stiff_PA (2)'!$A$6</c:f>
              <c:strCache>
                <c:ptCount val="1"/>
                <c:pt idx="0">
                  <c:v>Coyula-1728</c:v>
                </c:pt>
              </c:strCache>
            </c:strRef>
          </c:tx>
          <c:xVal>
            <c:numRef>
              <c:f>'Diagrama stiff_PA (2)'!$G$6:$J$6</c:f>
              <c:numCache>
                <c:formatCode>0.00</c:formatCode>
                <c:ptCount val="4"/>
                <c:pt idx="0">
                  <c:v>299.10000000000002</c:v>
                </c:pt>
                <c:pt idx="1">
                  <c:v>36.229999999999997</c:v>
                </c:pt>
                <c:pt idx="2">
                  <c:v>1.45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DC-464A-B5DD-1025640DBD95}"/>
            </c:ext>
          </c:extLst>
        </c:ser>
        <c:ser>
          <c:idx val="4"/>
          <c:order val="4"/>
          <c:tx>
            <c:strRef>
              <c:f>'Diagrama stiff_PA (2)'!$A$7</c:f>
              <c:strCache>
                <c:ptCount val="1"/>
                <c:pt idx="0">
                  <c:v>Coyula-1746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stiff_PA (2)'!$G$7:$J$7</c:f>
              <c:numCache>
                <c:formatCode>0.00</c:formatCode>
                <c:ptCount val="4"/>
                <c:pt idx="0">
                  <c:v>53.27</c:v>
                </c:pt>
                <c:pt idx="1">
                  <c:v>20.192</c:v>
                </c:pt>
                <c:pt idx="2">
                  <c:v>7.8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DC-464A-B5DD-1025640DBD95}"/>
            </c:ext>
          </c:extLst>
        </c:ser>
        <c:ser>
          <c:idx val="5"/>
          <c:order val="5"/>
          <c:tx>
            <c:strRef>
              <c:f>'Diagrama stiff_PA (2)'!$A$8</c:f>
              <c:strCache>
                <c:ptCount val="1"/>
                <c:pt idx="0">
                  <c:v>Coyula-1788</c:v>
                </c:pt>
              </c:strCache>
            </c:strRef>
          </c:tx>
          <c:xVal>
            <c:numRef>
              <c:f>'Diagrama stiff_PA (2)'!$G$8:$J$8</c:f>
              <c:numCache>
                <c:formatCode>0.00</c:formatCode>
                <c:ptCount val="4"/>
                <c:pt idx="0">
                  <c:v>1061.3</c:v>
                </c:pt>
                <c:pt idx="1">
                  <c:v>15.329000000000001</c:v>
                </c:pt>
                <c:pt idx="2">
                  <c:v>1.0409999999999999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DC-464A-B5DD-1025640DB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13728"/>
        <c:axId val="191562112"/>
      </c:scatterChart>
      <c:valAx>
        <c:axId val="189913728"/>
        <c:scaling>
          <c:logBase val="10"/>
          <c:orientation val="minMax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1562112"/>
        <c:crossesAt val="1"/>
        <c:crossBetween val="midCat"/>
      </c:valAx>
      <c:valAx>
        <c:axId val="191562112"/>
        <c:scaling>
          <c:orientation val="maxMin"/>
          <c:max val="4"/>
          <c:min val="1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89913728"/>
        <c:crossesAt val="10000"/>
        <c:crossBetween val="midCat"/>
      </c:valAx>
    </c:plotArea>
    <c:legend>
      <c:legendPos val="r"/>
      <c:layout>
        <c:manualLayout>
          <c:xMode val="edge"/>
          <c:yMode val="edge"/>
          <c:x val="0.56271212641213597"/>
          <c:y val="0.6693039723876768"/>
          <c:w val="0.22535084778104"/>
          <c:h val="0.28156649380016213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/>
            </a:pPr>
            <a:r>
              <a:rPr lang="en-US"/>
              <a:t>Diagrama</a:t>
            </a:r>
          </a:p>
        </c:rich>
      </c:tx>
      <c:layout>
        <c:manualLayout>
          <c:xMode val="edge"/>
          <c:yMode val="edge"/>
          <c:x val="0.72139308625809084"/>
          <c:y val="1.890464689617701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'Diagrama stiff_PA (2)'!$A$3</c:f>
              <c:strCache>
                <c:ptCount val="1"/>
                <c:pt idx="0">
                  <c:v>Coyula-1649</c:v>
                </c:pt>
              </c:strCache>
            </c:strRef>
          </c:tx>
          <c:xVal>
            <c:numRef>
              <c:f>'Diagrama stiff_PA (2)'!$C$3:$F$3</c:f>
              <c:numCache>
                <c:formatCode>0.00</c:formatCode>
                <c:ptCount val="4"/>
                <c:pt idx="0">
                  <c:v>447.72</c:v>
                </c:pt>
                <c:pt idx="1">
                  <c:v>15.83</c:v>
                </c:pt>
                <c:pt idx="2">
                  <c:v>5.87</c:v>
                </c:pt>
                <c:pt idx="3">
                  <c:v>2.2911999999999999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B-4299-94AE-7F660A93E951}"/>
            </c:ext>
          </c:extLst>
        </c:ser>
        <c:ser>
          <c:idx val="1"/>
          <c:order val="1"/>
          <c:tx>
            <c:strRef>
              <c:f>'Diagrama stiff_PA (2)'!$A$4</c:f>
              <c:strCache>
                <c:ptCount val="1"/>
                <c:pt idx="0">
                  <c:v>Coyula-1663</c:v>
                </c:pt>
              </c:strCache>
            </c:strRef>
          </c:tx>
          <c:xVal>
            <c:numRef>
              <c:f>'Diagrama stiff_PA (2)'!$C$4:$F$4</c:f>
              <c:numCache>
                <c:formatCode>0.00</c:formatCode>
                <c:ptCount val="4"/>
                <c:pt idx="0">
                  <c:v>962.13</c:v>
                </c:pt>
                <c:pt idx="1">
                  <c:v>52.929000000000002</c:v>
                </c:pt>
                <c:pt idx="2">
                  <c:v>36.648000000000003</c:v>
                </c:pt>
                <c:pt idx="3">
                  <c:v>1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4B-4299-94AE-7F660A93E951}"/>
            </c:ext>
          </c:extLst>
        </c:ser>
        <c:ser>
          <c:idx val="2"/>
          <c:order val="2"/>
          <c:tx>
            <c:strRef>
              <c:f>'Diagrama stiff_PA (2)'!$A$5</c:f>
              <c:strCache>
                <c:ptCount val="1"/>
                <c:pt idx="0">
                  <c:v>Coyula-1708</c:v>
                </c:pt>
              </c:strCache>
            </c:strRef>
          </c:tx>
          <c:xVal>
            <c:numRef>
              <c:f>'Diagrama stiff_PA (2)'!$C$5:$F$5</c:f>
              <c:numCache>
                <c:formatCode>0.00</c:formatCode>
                <c:ptCount val="4"/>
                <c:pt idx="0">
                  <c:v>273.58999999999997</c:v>
                </c:pt>
                <c:pt idx="1">
                  <c:v>21.64</c:v>
                </c:pt>
                <c:pt idx="2">
                  <c:v>7.47</c:v>
                </c:pt>
                <c:pt idx="3">
                  <c:v>2.9177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4B-4299-94AE-7F660A93E951}"/>
            </c:ext>
          </c:extLst>
        </c:ser>
        <c:ser>
          <c:idx val="3"/>
          <c:order val="3"/>
          <c:tx>
            <c:strRef>
              <c:f>'Diagrama stiff_PA (2)'!$A$6</c:f>
              <c:strCache>
                <c:ptCount val="1"/>
                <c:pt idx="0">
                  <c:v>Coyula-1728</c:v>
                </c:pt>
              </c:strCache>
            </c:strRef>
          </c:tx>
          <c:xVal>
            <c:numRef>
              <c:f>'Diagrama stiff_PA (2)'!$C$6:$F$6</c:f>
              <c:numCache>
                <c:formatCode>0.00</c:formatCode>
                <c:ptCount val="4"/>
                <c:pt idx="0">
                  <c:v>316.94</c:v>
                </c:pt>
                <c:pt idx="1">
                  <c:v>12.98</c:v>
                </c:pt>
                <c:pt idx="2">
                  <c:v>4.72</c:v>
                </c:pt>
                <c:pt idx="3">
                  <c:v>2.14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4B-4299-94AE-7F660A93E951}"/>
            </c:ext>
          </c:extLst>
        </c:ser>
        <c:ser>
          <c:idx val="4"/>
          <c:order val="4"/>
          <c:tx>
            <c:strRef>
              <c:f>'Diagrama stiff_PA (2)'!$A$7</c:f>
              <c:strCache>
                <c:ptCount val="1"/>
                <c:pt idx="0">
                  <c:v>Coyula-1746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stiff_PA (2)'!$C$7:$F$7</c:f>
              <c:numCache>
                <c:formatCode>0.00</c:formatCode>
                <c:ptCount val="4"/>
                <c:pt idx="0">
                  <c:v>73.33</c:v>
                </c:pt>
                <c:pt idx="1">
                  <c:v>4.83</c:v>
                </c:pt>
                <c:pt idx="2">
                  <c:v>1.88</c:v>
                </c:pt>
                <c:pt idx="3">
                  <c:v>1.12262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4B-4299-94AE-7F660A93E951}"/>
            </c:ext>
          </c:extLst>
        </c:ser>
        <c:ser>
          <c:idx val="5"/>
          <c:order val="5"/>
          <c:tx>
            <c:strRef>
              <c:f>'Diagrama stiff_PA (2)'!$A$8</c:f>
              <c:strCache>
                <c:ptCount val="1"/>
                <c:pt idx="0">
                  <c:v>Coyula-1788</c:v>
                </c:pt>
              </c:strCache>
            </c:strRef>
          </c:tx>
          <c:xVal>
            <c:numRef>
              <c:f>'Diagrama stiff_PA (2)'!$C$8:$F$8</c:f>
              <c:numCache>
                <c:formatCode>0.00</c:formatCode>
                <c:ptCount val="4"/>
                <c:pt idx="0">
                  <c:v>976.55</c:v>
                </c:pt>
                <c:pt idx="1">
                  <c:v>75.790000000000006</c:v>
                </c:pt>
                <c:pt idx="2">
                  <c:v>21.38</c:v>
                </c:pt>
                <c:pt idx="3">
                  <c:v>3.9483999999999999</c:v>
                </c:pt>
              </c:numCache>
            </c:numRef>
          </c:xVal>
          <c:yVal>
            <c:numRef>
              <c:f>'Diagrama stiff_PA (2)'!$C$1:$F$1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4B-4299-94AE-7F660A93E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63744"/>
        <c:axId val="192065536"/>
      </c:scatterChart>
      <c:valAx>
        <c:axId val="192063744"/>
        <c:scaling>
          <c:logBase val="10"/>
          <c:orientation val="maxMin"/>
          <c:min val="1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2065536"/>
        <c:crossesAt val="1"/>
        <c:crossBetween val="midCat"/>
      </c:valAx>
      <c:valAx>
        <c:axId val="192065536"/>
        <c:scaling>
          <c:orientation val="maxMin"/>
          <c:max val="4"/>
          <c:min val="1"/>
        </c:scaling>
        <c:delete val="1"/>
        <c:axPos val="r"/>
        <c:majorGridlines/>
        <c:numFmt formatCode="General" sourceLinked="1"/>
        <c:majorTickMark val="out"/>
        <c:minorTickMark val="none"/>
        <c:tickLblPos val="nextTo"/>
        <c:crossAx val="192063744"/>
        <c:crossesAt val="10000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'Diagrama stiff_PA (2)'!$C$2:$F$2</c:f>
              <c:strCache>
                <c:ptCount val="4"/>
                <c:pt idx="0">
                  <c:v>Na </c:v>
                </c:pt>
                <c:pt idx="1">
                  <c:v>Ca </c:v>
                </c:pt>
                <c:pt idx="2">
                  <c:v>Mg </c:v>
                </c:pt>
                <c:pt idx="3">
                  <c:v>Fe </c:v>
                </c:pt>
              </c:strCache>
            </c:strRef>
          </c:cat>
          <c:val>
            <c:numRef>
              <c:f>'Diagrama stiff_PA (2)'!$C$3:$F$3</c:f>
              <c:numCache>
                <c:formatCode>0.00</c:formatCode>
                <c:ptCount val="4"/>
                <c:pt idx="0">
                  <c:v>447.72</c:v>
                </c:pt>
                <c:pt idx="1">
                  <c:v>15.83</c:v>
                </c:pt>
                <c:pt idx="2">
                  <c:v>5.87</c:v>
                </c:pt>
                <c:pt idx="3">
                  <c:v>2.2911999999999999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F-4BA2-8576-11B98C4EA88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'Diagrama stiff_PA (2)'!$C$2:$F$2</c:f>
              <c:strCache>
                <c:ptCount val="4"/>
                <c:pt idx="0">
                  <c:v>Na </c:v>
                </c:pt>
                <c:pt idx="1">
                  <c:v>Ca </c:v>
                </c:pt>
                <c:pt idx="2">
                  <c:v>Mg </c:v>
                </c:pt>
                <c:pt idx="3">
                  <c:v>Fe </c:v>
                </c:pt>
              </c:strCache>
            </c:strRef>
          </c:cat>
          <c:val>
            <c:numRef>
              <c:f>'Diagrama stiff_PA (2)'!$C$4:$F$4</c:f>
              <c:numCache>
                <c:formatCode>0.00</c:formatCode>
                <c:ptCount val="4"/>
                <c:pt idx="0">
                  <c:v>962.13</c:v>
                </c:pt>
                <c:pt idx="1">
                  <c:v>52.929000000000002</c:v>
                </c:pt>
                <c:pt idx="2">
                  <c:v>36.648000000000003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F-4BA2-8576-11B98C4EA88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'Diagrama stiff_PA (2)'!$C$2:$F$2</c:f>
              <c:strCache>
                <c:ptCount val="4"/>
                <c:pt idx="0">
                  <c:v>Na </c:v>
                </c:pt>
                <c:pt idx="1">
                  <c:v>Ca </c:v>
                </c:pt>
                <c:pt idx="2">
                  <c:v>Mg </c:v>
                </c:pt>
                <c:pt idx="3">
                  <c:v>Fe </c:v>
                </c:pt>
              </c:strCache>
            </c:strRef>
          </c:cat>
          <c:val>
            <c:numRef>
              <c:f>'Diagrama stiff_PA (2)'!$C$5:$F$5</c:f>
              <c:numCache>
                <c:formatCode>0.00</c:formatCode>
                <c:ptCount val="4"/>
                <c:pt idx="0">
                  <c:v>273.58999999999997</c:v>
                </c:pt>
                <c:pt idx="1">
                  <c:v>21.64</c:v>
                </c:pt>
                <c:pt idx="2">
                  <c:v>7.47</c:v>
                </c:pt>
                <c:pt idx="3">
                  <c:v>2.9177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F-4BA2-8576-11B98C4EA88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'Diagrama stiff_PA (2)'!$C$2:$F$2</c:f>
              <c:strCache>
                <c:ptCount val="4"/>
                <c:pt idx="0">
                  <c:v>Na </c:v>
                </c:pt>
                <c:pt idx="1">
                  <c:v>Ca </c:v>
                </c:pt>
                <c:pt idx="2">
                  <c:v>Mg </c:v>
                </c:pt>
                <c:pt idx="3">
                  <c:v>Fe </c:v>
                </c:pt>
              </c:strCache>
            </c:strRef>
          </c:cat>
          <c:val>
            <c:numRef>
              <c:f>'Diagrama stiff_PA (2)'!$C$6:$F$6</c:f>
              <c:numCache>
                <c:formatCode>0.00</c:formatCode>
                <c:ptCount val="4"/>
                <c:pt idx="0">
                  <c:v>316.94</c:v>
                </c:pt>
                <c:pt idx="1">
                  <c:v>12.98</c:v>
                </c:pt>
                <c:pt idx="2">
                  <c:v>4.72</c:v>
                </c:pt>
                <c:pt idx="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F-4BA2-8576-11B98C4EA88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'Diagrama stiff_PA (2)'!$C$2:$F$2</c:f>
              <c:strCache>
                <c:ptCount val="4"/>
                <c:pt idx="0">
                  <c:v>Na </c:v>
                </c:pt>
                <c:pt idx="1">
                  <c:v>Ca </c:v>
                </c:pt>
                <c:pt idx="2">
                  <c:v>Mg </c:v>
                </c:pt>
                <c:pt idx="3">
                  <c:v>Fe </c:v>
                </c:pt>
              </c:strCache>
            </c:strRef>
          </c:cat>
          <c:val>
            <c:numRef>
              <c:f>'Diagrama stiff_PA (2)'!$C$7:$F$7</c:f>
              <c:numCache>
                <c:formatCode>0.00</c:formatCode>
                <c:ptCount val="4"/>
                <c:pt idx="0">
                  <c:v>73.33</c:v>
                </c:pt>
                <c:pt idx="1">
                  <c:v>4.83</c:v>
                </c:pt>
                <c:pt idx="2">
                  <c:v>1.88</c:v>
                </c:pt>
                <c:pt idx="3">
                  <c:v>1.12262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F-4BA2-8576-11B98C4EA88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'Diagrama stiff_PA (2)'!$C$2:$F$2</c:f>
              <c:strCache>
                <c:ptCount val="4"/>
                <c:pt idx="0">
                  <c:v>Na </c:v>
                </c:pt>
                <c:pt idx="1">
                  <c:v>Ca </c:v>
                </c:pt>
                <c:pt idx="2">
                  <c:v>Mg </c:v>
                </c:pt>
                <c:pt idx="3">
                  <c:v>Fe </c:v>
                </c:pt>
              </c:strCache>
            </c:strRef>
          </c:cat>
          <c:val>
            <c:numRef>
              <c:f>'Diagrama stiff_PA (2)'!$C$8:$F$8</c:f>
              <c:numCache>
                <c:formatCode>0.00</c:formatCode>
                <c:ptCount val="4"/>
                <c:pt idx="0">
                  <c:v>976.55</c:v>
                </c:pt>
                <c:pt idx="1">
                  <c:v>75.790000000000006</c:v>
                </c:pt>
                <c:pt idx="2">
                  <c:v>21.38</c:v>
                </c:pt>
                <c:pt idx="3">
                  <c:v>3.9483999999999999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6F-4BA2-8576-11B98C4EA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609360"/>
        <c:axId val="887611520"/>
      </c:lineChart>
      <c:catAx>
        <c:axId val="88760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7611520"/>
        <c:crosses val="autoZero"/>
        <c:auto val="1"/>
        <c:lblAlgn val="ctr"/>
        <c:lblOffset val="100"/>
        <c:noMultiLvlLbl val="0"/>
      </c:catAx>
      <c:valAx>
        <c:axId val="8876115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760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7914201530044402"/>
                  <c:y val="1.1372319027932084E-2"/>
                </c:manualLayout>
              </c:layout>
              <c:tx>
                <c:rich>
                  <a:bodyPr/>
                  <a:lstStyle/>
                  <a:p>
                    <a:fld id="{92CBF5F7-44B0-442B-A1E5-F7202E374550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A2B-4D22-89BB-F85799E1D1BE}"/>
                </c:ext>
              </c:extLst>
            </c:dLbl>
            <c:dLbl>
              <c:idx val="1"/>
              <c:layout>
                <c:manualLayout>
                  <c:x val="-0.58518123086069485"/>
                  <c:y val="0"/>
                </c:manualLayout>
              </c:layout>
              <c:tx>
                <c:rich>
                  <a:bodyPr/>
                  <a:lstStyle/>
                  <a:p>
                    <a:fld id="{F6B79387-6DB6-4754-904E-BBC38B5686B1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A2B-4D22-89BB-F85799E1D1BE}"/>
                </c:ext>
              </c:extLst>
            </c:dLbl>
            <c:dLbl>
              <c:idx val="2"/>
              <c:layout>
                <c:manualLayout>
                  <c:x val="-0.71115252402838436"/>
                  <c:y val="0"/>
                </c:manualLayout>
              </c:layout>
              <c:tx>
                <c:rich>
                  <a:bodyPr/>
                  <a:lstStyle/>
                  <a:p>
                    <a:fld id="{C6ADC35D-F344-4B4A-AE2D-2CA39C835581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A2B-4D22-89BB-F85799E1D1BE}"/>
                </c:ext>
              </c:extLst>
            </c:dLbl>
            <c:dLbl>
              <c:idx val="3"/>
              <c:layout>
                <c:manualLayout>
                  <c:x val="-0.81055994211963389"/>
                  <c:y val="-2.6226385595996729E-2"/>
                </c:manualLayout>
              </c:layout>
              <c:tx>
                <c:rich>
                  <a:bodyPr/>
                  <a:lstStyle/>
                  <a:p>
                    <a:fld id="{0F2BD097-B572-47F0-9B80-C45D6A3B990C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A2B-4D22-89BB-F85799E1D1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'Diagrama stiff_PA (2)'!$C$44:$C$47</c:f>
              <c:numCache>
                <c:formatCode>0.00</c:formatCode>
                <c:ptCount val="4"/>
                <c:pt idx="0">
                  <c:v>447.72</c:v>
                </c:pt>
                <c:pt idx="1">
                  <c:v>15.83</c:v>
                </c:pt>
                <c:pt idx="2">
                  <c:v>5.87</c:v>
                </c:pt>
                <c:pt idx="3">
                  <c:v>2.2911999999999999</c:v>
                </c:pt>
              </c:numCache>
            </c:numRef>
          </c:xVal>
          <c:yVal>
            <c:numRef>
              <c:f>'Diagrama stiff_PA (2)'!$B$44:$B$47</c:f>
              <c:numCache>
                <c:formatCode>0.00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'Diagrama stiff_PA (2)'!$D$44:$D$47</c15:f>
                <c15:dlblRangeCache>
                  <c:ptCount val="4"/>
                  <c:pt idx="0">
                    <c:v>Na </c:v>
                  </c:pt>
                  <c:pt idx="1">
                    <c:v>Ca </c:v>
                  </c:pt>
                  <c:pt idx="2">
                    <c:v>Mg </c:v>
                  </c:pt>
                  <c:pt idx="3">
                    <c:v>Fe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A2B-4D22-89BB-F85799E1D1B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012501544"/>
        <c:axId val="1012490384"/>
      </c:scatterChart>
      <c:valAx>
        <c:axId val="1012501544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12490384"/>
        <c:crosses val="autoZero"/>
        <c:crossBetween val="midCat"/>
      </c:valAx>
      <c:valAx>
        <c:axId val="1012490384"/>
        <c:scaling>
          <c:orientation val="minMax"/>
          <c:max val="4"/>
          <c:min val="1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125015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.82073963649936765"/>
                  <c:y val="-7.5058946391068342E-3"/>
                </c:manualLayout>
              </c:layout>
              <c:tx>
                <c:rich>
                  <a:bodyPr/>
                  <a:lstStyle/>
                  <a:p>
                    <a:fld id="{68A99409-215A-40E5-9B59-8197E12B81E9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6FD-4600-8181-3139F147F544}"/>
                </c:ext>
              </c:extLst>
            </c:dLbl>
            <c:dLbl>
              <c:idx val="1"/>
              <c:layout>
                <c:manualLayout>
                  <c:x val="0.75081114729090126"/>
                  <c:y val="-6.8803239370920221E-17"/>
                </c:manualLayout>
              </c:layout>
              <c:tx>
                <c:rich>
                  <a:bodyPr/>
                  <a:lstStyle/>
                  <a:p>
                    <a:fld id="{649297D9-4851-4256-A69B-6D432CC3F671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6FD-4600-8181-3139F147F544}"/>
                </c:ext>
              </c:extLst>
            </c:dLbl>
            <c:dLbl>
              <c:idx val="2"/>
              <c:layout>
                <c:manualLayout>
                  <c:x val="0.42693182885168901"/>
                  <c:y val="3.7529473195533824E-3"/>
                </c:manualLayout>
              </c:layout>
              <c:tx>
                <c:rich>
                  <a:bodyPr/>
                  <a:lstStyle/>
                  <a:p>
                    <a:fld id="{BF2AAEFD-4317-4B85-9BD8-F564A9E4DAC4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6FD-4600-8181-3139F147F544}"/>
                </c:ext>
              </c:extLst>
            </c:dLbl>
            <c:dLbl>
              <c:idx val="3"/>
              <c:layout>
                <c:manualLayout>
                  <c:x val="8.0969829609802951E-2"/>
                  <c:y val="3.7529473195534128E-3"/>
                </c:manualLayout>
              </c:layout>
              <c:tx>
                <c:rich>
                  <a:bodyPr/>
                  <a:lstStyle/>
                  <a:p>
                    <a:fld id="{012E331B-A1B2-4C1A-B744-6C9A3566FFBE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6FD-4600-8181-3139F147F5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'Diagrama stiff_PA (2)'!$C$48:$C$51</c:f>
              <c:numCache>
                <c:formatCode>0.00</c:formatCode>
                <c:ptCount val="4"/>
                <c:pt idx="0">
                  <c:v>1</c:v>
                </c:pt>
                <c:pt idx="1">
                  <c:v>1.6656</c:v>
                </c:pt>
                <c:pt idx="2">
                  <c:v>23.731999999999999</c:v>
                </c:pt>
                <c:pt idx="3">
                  <c:v>446.31</c:v>
                </c:pt>
              </c:numCache>
            </c:numRef>
          </c:xVal>
          <c:yVal>
            <c:numRef>
              <c:f>'Diagrama stiff_PA (2)'!$B$48:$B$51</c:f>
              <c:numCache>
                <c:formatCode>0.00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'Diagrama stiff_PA (2)'!$D$48:$D$51</c15:f>
                <c15:dlblRangeCache>
                  <c:ptCount val="4"/>
                  <c:pt idx="0">
                    <c:v>CO3</c:v>
                  </c:pt>
                  <c:pt idx="1">
                    <c:v>SO4</c:v>
                  </c:pt>
                  <c:pt idx="2">
                    <c:v>HCO3</c:v>
                  </c:pt>
                  <c:pt idx="3">
                    <c:v>Cl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6FD-4600-8181-3139F147F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501544"/>
        <c:axId val="1012490384"/>
      </c:scatterChart>
      <c:valAx>
        <c:axId val="10125015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12490384"/>
        <c:crosses val="autoZero"/>
        <c:crossBetween val="midCat"/>
      </c:valAx>
      <c:valAx>
        <c:axId val="1012490384"/>
        <c:scaling>
          <c:orientation val="minMax"/>
          <c:max val="4"/>
          <c:min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125015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Stiff</a:t>
            </a:r>
          </a:p>
        </c:rich>
      </c:tx>
      <c:layout>
        <c:manualLayout>
          <c:xMode val="edge"/>
          <c:yMode val="edge"/>
          <c:x val="5.4801240753996665E-2"/>
          <c:y val="1.89046468961770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403351160899769E-2"/>
          <c:y val="0.14539728883146424"/>
          <c:w val="0.75975778751095413"/>
          <c:h val="0.826056136420341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Pozo'!$A$3</c:f>
              <c:strCache>
                <c:ptCount val="1"/>
                <c:pt idx="0">
                  <c:v>Pozo-1</c:v>
                </c:pt>
              </c:strCache>
            </c:strRef>
          </c:tx>
          <c:xVal>
            <c:numRef>
              <c:f>'1 Pozo'!$F$3:$I$3</c:f>
              <c:numCache>
                <c:formatCode>0.00</c:formatCode>
                <c:ptCount val="4"/>
                <c:pt idx="0">
                  <c:v>446.31</c:v>
                </c:pt>
                <c:pt idx="1">
                  <c:v>23.731999999999999</c:v>
                </c:pt>
                <c:pt idx="2">
                  <c:v>1.6656</c:v>
                </c:pt>
                <c:pt idx="3">
                  <c:v>1</c:v>
                </c:pt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8-4D4C-B18D-C8740868F24E}"/>
            </c:ext>
          </c:extLst>
        </c:ser>
        <c:ser>
          <c:idx val="1"/>
          <c:order val="1"/>
          <c:tx>
            <c:strRef>
              <c:f>'1 Pozo'!$A$4</c:f>
              <c:strCache>
                <c:ptCount val="1"/>
              </c:strCache>
            </c:strRef>
          </c:tx>
          <c:xVal>
            <c:numRef>
              <c:f>'1 Pozo'!$F$4:$I$4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F8-4D4C-B18D-C8740868F24E}"/>
            </c:ext>
          </c:extLst>
        </c:ser>
        <c:ser>
          <c:idx val="2"/>
          <c:order val="2"/>
          <c:tx>
            <c:strRef>
              <c:f>'1 Pozo'!$A$5</c:f>
              <c:strCache>
                <c:ptCount val="1"/>
              </c:strCache>
            </c:strRef>
          </c:tx>
          <c:xVal>
            <c:numRef>
              <c:f>'1 Pozo'!$F$5:$I$5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F8-4D4C-B18D-C8740868F24E}"/>
            </c:ext>
          </c:extLst>
        </c:ser>
        <c:ser>
          <c:idx val="3"/>
          <c:order val="3"/>
          <c:tx>
            <c:strRef>
              <c:f>'1 Pozo'!$A$6</c:f>
              <c:strCache>
                <c:ptCount val="1"/>
              </c:strCache>
            </c:strRef>
          </c:tx>
          <c:xVal>
            <c:numRef>
              <c:f>'1 Pozo'!$F$6:$I$6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F8-4D4C-B18D-C8740868F24E}"/>
            </c:ext>
          </c:extLst>
        </c:ser>
        <c:ser>
          <c:idx val="4"/>
          <c:order val="4"/>
          <c:tx>
            <c:strRef>
              <c:f>'1 Pozo'!$A$7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 Pozo'!$F$7:$I$7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F8-4D4C-B18D-C8740868F24E}"/>
            </c:ext>
          </c:extLst>
        </c:ser>
        <c:ser>
          <c:idx val="5"/>
          <c:order val="5"/>
          <c:tx>
            <c:strRef>
              <c:f>'1 Pozo'!$A$8</c:f>
              <c:strCache>
                <c:ptCount val="1"/>
              </c:strCache>
            </c:strRef>
          </c:tx>
          <c:xVal>
            <c:numRef>
              <c:f>'1 Pozo'!$F$8:$I$8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F8-4D4C-B18D-C8740868F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13728"/>
        <c:axId val="191562112"/>
      </c:scatterChart>
      <c:valAx>
        <c:axId val="189913728"/>
        <c:scaling>
          <c:logBase val="10"/>
          <c:orientation val="minMax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1562112"/>
        <c:crossesAt val="1"/>
        <c:crossBetween val="midCat"/>
      </c:valAx>
      <c:valAx>
        <c:axId val="191562112"/>
        <c:scaling>
          <c:orientation val="maxMin"/>
          <c:max val="4"/>
          <c:min val="1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89913728"/>
        <c:crossesAt val="10000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6271212641213597"/>
          <c:y val="0.83639278329961531"/>
          <c:w val="0.22535084778104"/>
          <c:h val="0.1144776271965202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/>
            </a:pPr>
            <a:r>
              <a:rPr lang="en-US"/>
              <a:t>Diagrama</a:t>
            </a:r>
          </a:p>
        </c:rich>
      </c:tx>
      <c:layout>
        <c:manualLayout>
          <c:xMode val="edge"/>
          <c:yMode val="edge"/>
          <c:x val="0.72139308625809084"/>
          <c:y val="1.890464689617701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 Pozo'!$A$3</c:f>
              <c:strCache>
                <c:ptCount val="1"/>
                <c:pt idx="0">
                  <c:v>Pozo-1</c:v>
                </c:pt>
              </c:strCache>
            </c:strRef>
          </c:tx>
          <c:xVal>
            <c:numRef>
              <c:f>'1 Pozo'!$B$3:$E$3</c:f>
              <c:numCache>
                <c:formatCode>0.00</c:formatCode>
                <c:ptCount val="4"/>
                <c:pt idx="0">
                  <c:v>447.72</c:v>
                </c:pt>
                <c:pt idx="1">
                  <c:v>15.83</c:v>
                </c:pt>
                <c:pt idx="2">
                  <c:v>5.87</c:v>
                </c:pt>
                <c:pt idx="3">
                  <c:v>2.2911999999999999</c:v>
                </c:pt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48F5-BA0A-D10231E8B390}"/>
            </c:ext>
          </c:extLst>
        </c:ser>
        <c:ser>
          <c:idx val="1"/>
          <c:order val="1"/>
          <c:tx>
            <c:strRef>
              <c:f>'1 Pozo'!$A$4</c:f>
              <c:strCache>
                <c:ptCount val="1"/>
              </c:strCache>
            </c:strRef>
          </c:tx>
          <c:xVal>
            <c:numRef>
              <c:f>'1 Pozo'!$B$4:$E$4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48F5-BA0A-D10231E8B390}"/>
            </c:ext>
          </c:extLst>
        </c:ser>
        <c:ser>
          <c:idx val="2"/>
          <c:order val="2"/>
          <c:tx>
            <c:strRef>
              <c:f>'1 Pozo'!$A$5</c:f>
              <c:strCache>
                <c:ptCount val="1"/>
              </c:strCache>
            </c:strRef>
          </c:tx>
          <c:xVal>
            <c:numRef>
              <c:f>'1 Pozo'!$B$5:$E$5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8-48F5-BA0A-D10231E8B390}"/>
            </c:ext>
          </c:extLst>
        </c:ser>
        <c:ser>
          <c:idx val="3"/>
          <c:order val="3"/>
          <c:tx>
            <c:strRef>
              <c:f>'1 Pozo'!$A$6</c:f>
              <c:strCache>
                <c:ptCount val="1"/>
              </c:strCache>
            </c:strRef>
          </c:tx>
          <c:xVal>
            <c:numRef>
              <c:f>'1 Pozo'!$B$6:$E$6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8-48F5-BA0A-D10231E8B390}"/>
            </c:ext>
          </c:extLst>
        </c:ser>
        <c:ser>
          <c:idx val="4"/>
          <c:order val="4"/>
          <c:tx>
            <c:strRef>
              <c:f>'1 Pozo'!$A$7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 Pozo'!$B$7:$E$7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8-48F5-BA0A-D10231E8B390}"/>
            </c:ext>
          </c:extLst>
        </c:ser>
        <c:ser>
          <c:idx val="5"/>
          <c:order val="5"/>
          <c:tx>
            <c:strRef>
              <c:f>'1 Pozo'!$A$8</c:f>
              <c:strCache>
                <c:ptCount val="1"/>
              </c:strCache>
            </c:strRef>
          </c:tx>
          <c:xVal>
            <c:numRef>
              <c:f>'1 Pozo'!$B$8:$E$8</c:f>
              <c:numCache>
                <c:formatCode>0.00</c:formatCode>
                <c:ptCount val="4"/>
              </c:numCache>
            </c:numRef>
          </c:xVal>
          <c:yVal>
            <c:numRef>
              <c:f>'1 Pozo'!$D$1:$G$1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8-48F5-BA0A-D10231E8B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63744"/>
        <c:axId val="192065536"/>
      </c:scatterChart>
      <c:valAx>
        <c:axId val="192063744"/>
        <c:scaling>
          <c:logBase val="10"/>
          <c:orientation val="maxMin"/>
          <c:min val="1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2065536"/>
        <c:crossesAt val="1"/>
        <c:crossBetween val="midCat"/>
      </c:valAx>
      <c:valAx>
        <c:axId val="192065536"/>
        <c:scaling>
          <c:orientation val="maxMin"/>
          <c:max val="4"/>
          <c:min val="1"/>
        </c:scaling>
        <c:delete val="1"/>
        <c:axPos val="r"/>
        <c:majorGridlines/>
        <c:numFmt formatCode="General" sourceLinked="1"/>
        <c:majorTickMark val="out"/>
        <c:minorTickMark val="none"/>
        <c:tickLblPos val="nextTo"/>
        <c:crossAx val="192063744"/>
        <c:crossesAt val="10000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Stiff</a:t>
            </a:r>
          </a:p>
        </c:rich>
      </c:tx>
      <c:layout>
        <c:manualLayout>
          <c:xMode val="edge"/>
          <c:yMode val="edge"/>
          <c:x val="5.4801240753996665E-2"/>
          <c:y val="1.89046468961770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403351160899769E-2"/>
          <c:y val="0.14539728883146424"/>
          <c:w val="0.75975778751095413"/>
          <c:h val="0.826056136420341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'Diagrama stiff_PA (4)'!$A$3</c:f>
              <c:strCache>
                <c:ptCount val="1"/>
                <c:pt idx="0">
                  <c:v>Coyula-1649</c:v>
                </c:pt>
              </c:strCache>
            </c:strRef>
          </c:tx>
          <c:xVal>
            <c:numRef>
              <c:f>'Diagrama stiff_PA (4)'!$G$3:$J$3</c:f>
              <c:numCache>
                <c:formatCode>0.00</c:formatCode>
                <c:ptCount val="4"/>
                <c:pt idx="0">
                  <c:v>446.31</c:v>
                </c:pt>
                <c:pt idx="1">
                  <c:v>23.731999999999999</c:v>
                </c:pt>
                <c:pt idx="2">
                  <c:v>1.6656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1C-4362-A25D-2340BEDA80B7}"/>
            </c:ext>
          </c:extLst>
        </c:ser>
        <c:ser>
          <c:idx val="1"/>
          <c:order val="1"/>
          <c:tx>
            <c:strRef>
              <c:f>'Diagrama stiff_PA (4)'!$A$4</c:f>
              <c:strCache>
                <c:ptCount val="1"/>
                <c:pt idx="0">
                  <c:v>Coyula-1663</c:v>
                </c:pt>
              </c:strCache>
            </c:strRef>
          </c:tx>
          <c:xVal>
            <c:numRef>
              <c:f>'Diagrama stiff_PA (4)'!$G$4:$J$4</c:f>
              <c:numCache>
                <c:formatCode>0.00</c:formatCode>
                <c:ptCount val="4"/>
                <c:pt idx="0">
                  <c:v>1025.55</c:v>
                </c:pt>
                <c:pt idx="1">
                  <c:v>19.228999999999999</c:v>
                </c:pt>
                <c:pt idx="2">
                  <c:v>7.07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1C-4362-A25D-2340BEDA80B7}"/>
            </c:ext>
          </c:extLst>
        </c:ser>
        <c:ser>
          <c:idx val="2"/>
          <c:order val="2"/>
          <c:tx>
            <c:strRef>
              <c:f>'Diagrama stiff_PA (4)'!$A$5</c:f>
              <c:strCache>
                <c:ptCount val="1"/>
                <c:pt idx="0">
                  <c:v>Coyula-1708</c:v>
                </c:pt>
              </c:strCache>
            </c:strRef>
          </c:tx>
          <c:xVal>
            <c:numRef>
              <c:f>'Diagrama stiff_PA (4)'!$G$5:$J$5</c:f>
              <c:numCache>
                <c:formatCode>0.00</c:formatCode>
                <c:ptCount val="4"/>
                <c:pt idx="0">
                  <c:v>560.63</c:v>
                </c:pt>
                <c:pt idx="1">
                  <c:v>26.667000000000002</c:v>
                </c:pt>
                <c:pt idx="2">
                  <c:v>10.670999999999999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1C-4362-A25D-2340BEDA80B7}"/>
            </c:ext>
          </c:extLst>
        </c:ser>
        <c:ser>
          <c:idx val="3"/>
          <c:order val="3"/>
          <c:tx>
            <c:strRef>
              <c:f>'Diagrama stiff_PA (4)'!$A$6</c:f>
              <c:strCache>
                <c:ptCount val="1"/>
                <c:pt idx="0">
                  <c:v>Coyula-1728</c:v>
                </c:pt>
              </c:strCache>
            </c:strRef>
          </c:tx>
          <c:xVal>
            <c:numRef>
              <c:f>'Diagrama stiff_PA (4)'!$G$6:$J$6</c:f>
              <c:numCache>
                <c:formatCode>0.00</c:formatCode>
                <c:ptCount val="4"/>
                <c:pt idx="0">
                  <c:v>299.10000000000002</c:v>
                </c:pt>
                <c:pt idx="1">
                  <c:v>36.229999999999997</c:v>
                </c:pt>
                <c:pt idx="2">
                  <c:v>1.45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1C-4362-A25D-2340BEDA80B7}"/>
            </c:ext>
          </c:extLst>
        </c:ser>
        <c:ser>
          <c:idx val="4"/>
          <c:order val="4"/>
          <c:tx>
            <c:strRef>
              <c:f>'Diagrama stiff_PA (4)'!$A$7</c:f>
              <c:strCache>
                <c:ptCount val="1"/>
                <c:pt idx="0">
                  <c:v>Coyula-1746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stiff_PA (4)'!$G$7:$J$7</c:f>
              <c:numCache>
                <c:formatCode>0.00</c:formatCode>
                <c:ptCount val="4"/>
                <c:pt idx="0">
                  <c:v>53.27</c:v>
                </c:pt>
                <c:pt idx="1">
                  <c:v>20.192</c:v>
                </c:pt>
                <c:pt idx="2">
                  <c:v>7.8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1C-4362-A25D-2340BEDA80B7}"/>
            </c:ext>
          </c:extLst>
        </c:ser>
        <c:ser>
          <c:idx val="5"/>
          <c:order val="5"/>
          <c:tx>
            <c:strRef>
              <c:f>'Diagrama stiff_PA (4)'!$A$8</c:f>
              <c:strCache>
                <c:ptCount val="1"/>
                <c:pt idx="0">
                  <c:v>Coyula-1788</c:v>
                </c:pt>
              </c:strCache>
            </c:strRef>
          </c:tx>
          <c:xVal>
            <c:numRef>
              <c:f>'Diagrama stiff_PA (4)'!$G$8:$J$8</c:f>
              <c:numCache>
                <c:formatCode>0.00</c:formatCode>
                <c:ptCount val="4"/>
                <c:pt idx="0">
                  <c:v>1061.3</c:v>
                </c:pt>
                <c:pt idx="1">
                  <c:v>15.329000000000001</c:v>
                </c:pt>
                <c:pt idx="2">
                  <c:v>1.0409999999999999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1C-4362-A25D-2340BEDA8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13728"/>
        <c:axId val="191562112"/>
      </c:scatterChart>
      <c:valAx>
        <c:axId val="189913728"/>
        <c:scaling>
          <c:logBase val="10"/>
          <c:orientation val="minMax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1562112"/>
        <c:crossesAt val="1"/>
        <c:crossBetween val="midCat"/>
      </c:valAx>
      <c:valAx>
        <c:axId val="191562112"/>
        <c:scaling>
          <c:orientation val="maxMin"/>
          <c:max val="4"/>
          <c:min val="1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89913728"/>
        <c:crossesAt val="10000"/>
        <c:crossBetween val="midCat"/>
      </c:valAx>
    </c:plotArea>
    <c:legend>
      <c:legendPos val="r"/>
      <c:layout>
        <c:manualLayout>
          <c:xMode val="edge"/>
          <c:yMode val="edge"/>
          <c:x val="0.56271212641213597"/>
          <c:y val="0.6693039723876768"/>
          <c:w val="0.22535084778104"/>
          <c:h val="0.28156649380016213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/>
            </a:pPr>
            <a:r>
              <a:rPr lang="en-US"/>
              <a:t>Diagrama</a:t>
            </a:r>
          </a:p>
        </c:rich>
      </c:tx>
      <c:layout>
        <c:manualLayout>
          <c:xMode val="edge"/>
          <c:yMode val="edge"/>
          <c:x val="0.72139308625809084"/>
          <c:y val="1.890464689617701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'Diagrama stiff_PA (4)'!$A$3</c:f>
              <c:strCache>
                <c:ptCount val="1"/>
                <c:pt idx="0">
                  <c:v>Coyula-1649</c:v>
                </c:pt>
              </c:strCache>
            </c:strRef>
          </c:tx>
          <c:xVal>
            <c:numRef>
              <c:f>'Diagrama stiff_PA (4)'!$C$3:$F$3</c:f>
              <c:numCache>
                <c:formatCode>0.00</c:formatCode>
                <c:ptCount val="4"/>
                <c:pt idx="0">
                  <c:v>447.72</c:v>
                </c:pt>
                <c:pt idx="1">
                  <c:v>15.83</c:v>
                </c:pt>
                <c:pt idx="2">
                  <c:v>5.87</c:v>
                </c:pt>
                <c:pt idx="3">
                  <c:v>2.2911999999999999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B-4E1F-9C85-ACAA62AFE3D0}"/>
            </c:ext>
          </c:extLst>
        </c:ser>
        <c:ser>
          <c:idx val="1"/>
          <c:order val="1"/>
          <c:tx>
            <c:strRef>
              <c:f>'Diagrama stiff_PA (4)'!$A$4</c:f>
              <c:strCache>
                <c:ptCount val="1"/>
                <c:pt idx="0">
                  <c:v>Coyula-1663</c:v>
                </c:pt>
              </c:strCache>
            </c:strRef>
          </c:tx>
          <c:xVal>
            <c:numRef>
              <c:f>'Diagrama stiff_PA (4)'!$C$4:$F$4</c:f>
              <c:numCache>
                <c:formatCode>0.00</c:formatCode>
                <c:ptCount val="4"/>
                <c:pt idx="0">
                  <c:v>962.13</c:v>
                </c:pt>
                <c:pt idx="1">
                  <c:v>52.929000000000002</c:v>
                </c:pt>
                <c:pt idx="2">
                  <c:v>36.648000000000003</c:v>
                </c:pt>
                <c:pt idx="3">
                  <c:v>1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B-4E1F-9C85-ACAA62AFE3D0}"/>
            </c:ext>
          </c:extLst>
        </c:ser>
        <c:ser>
          <c:idx val="2"/>
          <c:order val="2"/>
          <c:tx>
            <c:strRef>
              <c:f>'Diagrama stiff_PA (4)'!$A$5</c:f>
              <c:strCache>
                <c:ptCount val="1"/>
                <c:pt idx="0">
                  <c:v>Coyula-1708</c:v>
                </c:pt>
              </c:strCache>
            </c:strRef>
          </c:tx>
          <c:xVal>
            <c:numRef>
              <c:f>'Diagrama stiff_PA (4)'!$C$5:$F$5</c:f>
              <c:numCache>
                <c:formatCode>0.00</c:formatCode>
                <c:ptCount val="4"/>
                <c:pt idx="0">
                  <c:v>273.58999999999997</c:v>
                </c:pt>
                <c:pt idx="1">
                  <c:v>21.64</c:v>
                </c:pt>
                <c:pt idx="2">
                  <c:v>7.47</c:v>
                </c:pt>
                <c:pt idx="3">
                  <c:v>2.9177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EB-4E1F-9C85-ACAA62AFE3D0}"/>
            </c:ext>
          </c:extLst>
        </c:ser>
        <c:ser>
          <c:idx val="3"/>
          <c:order val="3"/>
          <c:tx>
            <c:strRef>
              <c:f>'Diagrama stiff_PA (4)'!$A$6</c:f>
              <c:strCache>
                <c:ptCount val="1"/>
                <c:pt idx="0">
                  <c:v>Coyula-1728</c:v>
                </c:pt>
              </c:strCache>
            </c:strRef>
          </c:tx>
          <c:xVal>
            <c:numRef>
              <c:f>'Diagrama stiff_PA (4)'!$C$6:$F$6</c:f>
              <c:numCache>
                <c:formatCode>0.00</c:formatCode>
                <c:ptCount val="4"/>
                <c:pt idx="0">
                  <c:v>316.94</c:v>
                </c:pt>
                <c:pt idx="1">
                  <c:v>12.98</c:v>
                </c:pt>
                <c:pt idx="2">
                  <c:v>4.72</c:v>
                </c:pt>
                <c:pt idx="3">
                  <c:v>2.14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EB-4E1F-9C85-ACAA62AFE3D0}"/>
            </c:ext>
          </c:extLst>
        </c:ser>
        <c:ser>
          <c:idx val="4"/>
          <c:order val="4"/>
          <c:tx>
            <c:strRef>
              <c:f>'Diagrama stiff_PA (4)'!$A$7</c:f>
              <c:strCache>
                <c:ptCount val="1"/>
                <c:pt idx="0">
                  <c:v>Coyula-1746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tar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'Diagrama stiff_PA (4)'!$C$7:$F$7</c:f>
              <c:numCache>
                <c:formatCode>0.00</c:formatCode>
                <c:ptCount val="4"/>
                <c:pt idx="0">
                  <c:v>73.33</c:v>
                </c:pt>
                <c:pt idx="1">
                  <c:v>4.83</c:v>
                </c:pt>
                <c:pt idx="2">
                  <c:v>1.88</c:v>
                </c:pt>
                <c:pt idx="3">
                  <c:v>1.12262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EB-4E1F-9C85-ACAA62AFE3D0}"/>
            </c:ext>
          </c:extLst>
        </c:ser>
        <c:ser>
          <c:idx val="5"/>
          <c:order val="5"/>
          <c:tx>
            <c:strRef>
              <c:f>'Diagrama stiff_PA (4)'!$A$8</c:f>
              <c:strCache>
                <c:ptCount val="1"/>
                <c:pt idx="0">
                  <c:v>Coyula-1788</c:v>
                </c:pt>
              </c:strCache>
            </c:strRef>
          </c:tx>
          <c:xVal>
            <c:numRef>
              <c:f>'Diagrama stiff_PA (4)'!$C$8:$F$8</c:f>
              <c:numCache>
                <c:formatCode>0.00</c:formatCode>
                <c:ptCount val="4"/>
                <c:pt idx="0">
                  <c:v>976.55</c:v>
                </c:pt>
                <c:pt idx="1">
                  <c:v>75.790000000000006</c:v>
                </c:pt>
                <c:pt idx="2">
                  <c:v>21.38</c:v>
                </c:pt>
                <c:pt idx="3">
                  <c:v>3.9483999999999999</c:v>
                </c:pt>
              </c:numCache>
            </c:numRef>
          </c:xVal>
          <c:yVal>
            <c:numRef>
              <c:f>'Diagrama stiff_PA (4)'!$E$1:$H$1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EB-4E1F-9C85-ACAA62AF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63744"/>
        <c:axId val="192065536"/>
      </c:scatterChart>
      <c:valAx>
        <c:axId val="192063744"/>
        <c:scaling>
          <c:logBase val="10"/>
          <c:orientation val="maxMin"/>
          <c:min val="1"/>
        </c:scaling>
        <c:delete val="0"/>
        <c:axPos val="t"/>
        <c:majorGridlines/>
        <c:minorGridlines/>
        <c:numFmt formatCode="0.00" sourceLinked="1"/>
        <c:majorTickMark val="out"/>
        <c:minorTickMark val="none"/>
        <c:tickLblPos val="nextTo"/>
        <c:crossAx val="192065536"/>
        <c:crossesAt val="1"/>
        <c:crossBetween val="midCat"/>
      </c:valAx>
      <c:valAx>
        <c:axId val="192065536"/>
        <c:scaling>
          <c:orientation val="maxMin"/>
          <c:max val="4"/>
          <c:min val="1"/>
        </c:scaling>
        <c:delete val="1"/>
        <c:axPos val="r"/>
        <c:majorGridlines/>
        <c:numFmt formatCode="General" sourceLinked="1"/>
        <c:majorTickMark val="out"/>
        <c:minorTickMark val="none"/>
        <c:tickLblPos val="nextTo"/>
        <c:crossAx val="192063744"/>
        <c:crossesAt val="10000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379581</xdr:colOff>
      <xdr:row>26</xdr:row>
      <xdr:rowOff>6236</xdr:rowOff>
    </xdr:from>
    <xdr:to>
      <xdr:col>12</xdr:col>
      <xdr:colOff>203611</xdr:colOff>
      <xdr:row>27</xdr:row>
      <xdr:rowOff>69140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531BF10F-FE0D-4725-9465-D5BE2E5324D8}"/>
            </a:ext>
          </a:extLst>
        </xdr:cNvPr>
        <xdr:cNvSpPr txBox="1"/>
      </xdr:nvSpPr>
      <xdr:spPr>
        <a:xfrm>
          <a:off x="7719434" y="4746324"/>
          <a:ext cx="563618" cy="2309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Fe+</a:t>
          </a:r>
        </a:p>
      </xdr:txBody>
    </xdr:sp>
    <xdr:clientData/>
  </xdr:twoCellAnchor>
  <xdr:twoCellAnchor>
    <xdr:from>
      <xdr:col>11</xdr:col>
      <xdr:colOff>386976</xdr:colOff>
      <xdr:row>19</xdr:row>
      <xdr:rowOff>19795</xdr:rowOff>
    </xdr:from>
    <xdr:to>
      <xdr:col>12</xdr:col>
      <xdr:colOff>539376</xdr:colOff>
      <xdr:row>20</xdr:row>
      <xdr:rowOff>118221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33918309-BC17-4B57-8DBC-F78062FB73F4}"/>
            </a:ext>
          </a:extLst>
        </xdr:cNvPr>
        <xdr:cNvSpPr txBox="1"/>
      </xdr:nvSpPr>
      <xdr:spPr>
        <a:xfrm>
          <a:off x="7711141" y="3596713"/>
          <a:ext cx="896470" cy="277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Mg+</a:t>
          </a:r>
        </a:p>
      </xdr:txBody>
    </xdr:sp>
    <xdr:clientData/>
  </xdr:twoCellAnchor>
  <xdr:twoCellAnchor>
    <xdr:from>
      <xdr:col>11</xdr:col>
      <xdr:colOff>376332</xdr:colOff>
      <xdr:row>11</xdr:row>
      <xdr:rowOff>96369</xdr:rowOff>
    </xdr:from>
    <xdr:to>
      <xdr:col>12</xdr:col>
      <xdr:colOff>471581</xdr:colOff>
      <xdr:row>13</xdr:row>
      <xdr:rowOff>16994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D97F9C63-4594-41F3-B0CA-D5A700D3FEB3}"/>
            </a:ext>
          </a:extLst>
        </xdr:cNvPr>
        <xdr:cNvSpPr txBox="1"/>
      </xdr:nvSpPr>
      <xdr:spPr>
        <a:xfrm>
          <a:off x="7700497" y="2238934"/>
          <a:ext cx="839319" cy="2792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Ca+</a:t>
          </a:r>
        </a:p>
      </xdr:txBody>
    </xdr:sp>
    <xdr:clientData/>
  </xdr:twoCellAnchor>
  <xdr:twoCellAnchor>
    <xdr:from>
      <xdr:col>16</xdr:col>
      <xdr:colOff>717747</xdr:colOff>
      <xdr:row>1</xdr:row>
      <xdr:rowOff>34926</xdr:rowOff>
    </xdr:from>
    <xdr:to>
      <xdr:col>23</xdr:col>
      <xdr:colOff>96717</xdr:colOff>
      <xdr:row>28</xdr:row>
      <xdr:rowOff>33617</xdr:rowOff>
    </xdr:to>
    <xdr:graphicFrame macro="">
      <xdr:nvGraphicFramePr>
        <xdr:cNvPr id="5" name="2 Gráfico">
          <a:extLst>
            <a:ext uri="{FF2B5EF4-FFF2-40B4-BE49-F238E27FC236}">
              <a16:creationId xmlns:a16="http://schemas.microsoft.com/office/drawing/2014/main" id="{6DE71B5A-97AD-4E27-9C67-F181DAA07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706120</xdr:colOff>
      <xdr:row>1</xdr:row>
      <xdr:rowOff>34924</xdr:rowOff>
    </xdr:from>
    <xdr:to>
      <xdr:col>17</xdr:col>
      <xdr:colOff>479425</xdr:colOff>
      <xdr:row>28</xdr:row>
      <xdr:rowOff>44822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803B9DAD-42FE-4402-B1E7-7C6098C7C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427245</xdr:colOff>
      <xdr:row>3</xdr:row>
      <xdr:rowOff>149990</xdr:rowOff>
    </xdr:from>
    <xdr:to>
      <xdr:col>12</xdr:col>
      <xdr:colOff>135780</xdr:colOff>
      <xdr:row>5</xdr:row>
      <xdr:rowOff>100405</xdr:rowOff>
    </xdr:to>
    <xdr:sp macro="" textlink="">
      <xdr:nvSpPr>
        <xdr:cNvPr id="7" name="4 CuadroTexto">
          <a:extLst>
            <a:ext uri="{FF2B5EF4-FFF2-40B4-BE49-F238E27FC236}">
              <a16:creationId xmlns:a16="http://schemas.microsoft.com/office/drawing/2014/main" id="{BE01CB26-B86C-474C-A198-FF40DC3B5CFC}"/>
            </a:ext>
          </a:extLst>
        </xdr:cNvPr>
        <xdr:cNvSpPr txBox="1"/>
      </xdr:nvSpPr>
      <xdr:spPr>
        <a:xfrm>
          <a:off x="7751410" y="858202"/>
          <a:ext cx="452605" cy="3090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Na+</a:t>
          </a:r>
        </a:p>
      </xdr:txBody>
    </xdr:sp>
    <xdr:clientData/>
  </xdr:twoCellAnchor>
  <xdr:twoCellAnchor>
    <xdr:from>
      <xdr:col>22</xdr:col>
      <xdr:colOff>79376</xdr:colOff>
      <xdr:row>4</xdr:row>
      <xdr:rowOff>708</xdr:rowOff>
    </xdr:from>
    <xdr:to>
      <xdr:col>22</xdr:col>
      <xdr:colOff>549911</xdr:colOff>
      <xdr:row>5</xdr:row>
      <xdr:rowOff>124571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D4F0C609-AA7E-4E24-A5E2-9C43F1554A70}"/>
            </a:ext>
          </a:extLst>
        </xdr:cNvPr>
        <xdr:cNvSpPr txBox="1"/>
      </xdr:nvSpPr>
      <xdr:spPr>
        <a:xfrm>
          <a:off x="15554700" y="885973"/>
          <a:ext cx="470535" cy="3031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Cl</a:t>
          </a:r>
        </a:p>
      </xdr:txBody>
    </xdr:sp>
    <xdr:clientData/>
  </xdr:twoCellAnchor>
  <xdr:twoCellAnchor>
    <xdr:from>
      <xdr:col>22</xdr:col>
      <xdr:colOff>94838</xdr:colOff>
      <xdr:row>10</xdr:row>
      <xdr:rowOff>149337</xdr:rowOff>
    </xdr:from>
    <xdr:to>
      <xdr:col>22</xdr:col>
      <xdr:colOff>666338</xdr:colOff>
      <xdr:row>12</xdr:row>
      <xdr:rowOff>74182</xdr:rowOff>
    </xdr:to>
    <xdr:sp macro="" textlink="">
      <xdr:nvSpPr>
        <xdr:cNvPr id="9" name="9 CuadroTexto">
          <a:extLst>
            <a:ext uri="{FF2B5EF4-FFF2-40B4-BE49-F238E27FC236}">
              <a16:creationId xmlns:a16="http://schemas.microsoft.com/office/drawing/2014/main" id="{F42E999F-3E3D-454E-9FEA-3A2774FE21B0}"/>
            </a:ext>
          </a:extLst>
        </xdr:cNvPr>
        <xdr:cNvSpPr txBox="1"/>
      </xdr:nvSpPr>
      <xdr:spPr>
        <a:xfrm>
          <a:off x="15570162" y="2110366"/>
          <a:ext cx="571500" cy="2834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HCO</a:t>
          </a:r>
          <a:r>
            <a:rPr lang="es-MX" sz="1000" baseline="-25000"/>
            <a:t>3</a:t>
          </a:r>
        </a:p>
      </xdr:txBody>
    </xdr:sp>
    <xdr:clientData/>
  </xdr:twoCellAnchor>
  <xdr:twoCellAnchor>
    <xdr:from>
      <xdr:col>22</xdr:col>
      <xdr:colOff>90580</xdr:colOff>
      <xdr:row>18</xdr:row>
      <xdr:rowOff>84454</xdr:rowOff>
    </xdr:from>
    <xdr:to>
      <xdr:col>22</xdr:col>
      <xdr:colOff>612551</xdr:colOff>
      <xdr:row>20</xdr:row>
      <xdr:rowOff>22186</xdr:rowOff>
    </xdr:to>
    <xdr:sp macro="" textlink="">
      <xdr:nvSpPr>
        <xdr:cNvPr id="10" name="10 CuadroTexto">
          <a:extLst>
            <a:ext uri="{FF2B5EF4-FFF2-40B4-BE49-F238E27FC236}">
              <a16:creationId xmlns:a16="http://schemas.microsoft.com/office/drawing/2014/main" id="{9BF2311F-DE08-41E9-9050-F0017C06DF98}"/>
            </a:ext>
          </a:extLst>
        </xdr:cNvPr>
        <xdr:cNvSpPr txBox="1"/>
      </xdr:nvSpPr>
      <xdr:spPr>
        <a:xfrm>
          <a:off x="15565904" y="3479836"/>
          <a:ext cx="521971" cy="2739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SO</a:t>
          </a:r>
          <a:r>
            <a:rPr lang="es-MX" sz="1000" baseline="-25000"/>
            <a:t>4</a:t>
          </a:r>
        </a:p>
      </xdr:txBody>
    </xdr:sp>
    <xdr:clientData/>
  </xdr:twoCellAnchor>
  <xdr:twoCellAnchor>
    <xdr:from>
      <xdr:col>22</xdr:col>
      <xdr:colOff>97976</xdr:colOff>
      <xdr:row>25</xdr:row>
      <xdr:rowOff>161214</xdr:rowOff>
    </xdr:from>
    <xdr:to>
      <xdr:col>22</xdr:col>
      <xdr:colOff>627567</xdr:colOff>
      <xdr:row>27</xdr:row>
      <xdr:rowOff>97901</xdr:rowOff>
    </xdr:to>
    <xdr:sp macro="" textlink="">
      <xdr:nvSpPr>
        <xdr:cNvPr id="11" name="11 CuadroTexto">
          <a:extLst>
            <a:ext uri="{FF2B5EF4-FFF2-40B4-BE49-F238E27FC236}">
              <a16:creationId xmlns:a16="http://schemas.microsoft.com/office/drawing/2014/main" id="{AE0A7791-74AA-4F9A-98BA-71311F8329C2}"/>
            </a:ext>
          </a:extLst>
        </xdr:cNvPr>
        <xdr:cNvSpPr txBox="1"/>
      </xdr:nvSpPr>
      <xdr:spPr>
        <a:xfrm>
          <a:off x="15573300" y="4733214"/>
          <a:ext cx="529591" cy="2728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CO</a:t>
          </a:r>
          <a:r>
            <a:rPr lang="es-MX" sz="1000" baseline="-25000"/>
            <a:t>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379581</xdr:colOff>
      <xdr:row>26</xdr:row>
      <xdr:rowOff>6236</xdr:rowOff>
    </xdr:from>
    <xdr:to>
      <xdr:col>12</xdr:col>
      <xdr:colOff>203611</xdr:colOff>
      <xdr:row>27</xdr:row>
      <xdr:rowOff>69140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EC2EC8F2-A6AD-4298-9C82-1F6A59BB6329}"/>
            </a:ext>
          </a:extLst>
        </xdr:cNvPr>
        <xdr:cNvSpPr txBox="1"/>
      </xdr:nvSpPr>
      <xdr:spPr>
        <a:xfrm>
          <a:off x="7713831" y="4808741"/>
          <a:ext cx="570790" cy="2305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Fe+++</a:t>
          </a:r>
        </a:p>
      </xdr:txBody>
    </xdr:sp>
    <xdr:clientData/>
  </xdr:twoCellAnchor>
  <xdr:twoCellAnchor>
    <xdr:from>
      <xdr:col>11</xdr:col>
      <xdr:colOff>413871</xdr:colOff>
      <xdr:row>18</xdr:row>
      <xdr:rowOff>163230</xdr:rowOff>
    </xdr:from>
    <xdr:to>
      <xdr:col>12</xdr:col>
      <xdr:colOff>566271</xdr:colOff>
      <xdr:row>20</xdr:row>
      <xdr:rowOff>82362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69DFF279-5CED-4204-92D3-0A1D3C6014F6}"/>
            </a:ext>
          </a:extLst>
        </xdr:cNvPr>
        <xdr:cNvSpPr txBox="1"/>
      </xdr:nvSpPr>
      <xdr:spPr>
        <a:xfrm>
          <a:off x="7738036" y="3560854"/>
          <a:ext cx="896470" cy="277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Mg++</a:t>
          </a:r>
        </a:p>
      </xdr:txBody>
    </xdr:sp>
    <xdr:clientData/>
  </xdr:twoCellAnchor>
  <xdr:twoCellAnchor>
    <xdr:from>
      <xdr:col>11</xdr:col>
      <xdr:colOff>412190</xdr:colOff>
      <xdr:row>11</xdr:row>
      <xdr:rowOff>51546</xdr:rowOff>
    </xdr:from>
    <xdr:to>
      <xdr:col>12</xdr:col>
      <xdr:colOff>507439</xdr:colOff>
      <xdr:row>12</xdr:row>
      <xdr:rowOff>151465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7721920-6B6E-454F-9F45-71593A305E8F}"/>
            </a:ext>
          </a:extLst>
        </xdr:cNvPr>
        <xdr:cNvSpPr txBox="1"/>
      </xdr:nvSpPr>
      <xdr:spPr>
        <a:xfrm>
          <a:off x="7736355" y="2194111"/>
          <a:ext cx="839319" cy="2792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Ca++</a:t>
          </a:r>
        </a:p>
      </xdr:txBody>
    </xdr:sp>
    <xdr:clientData/>
  </xdr:twoCellAnchor>
  <xdr:twoCellAnchor>
    <xdr:from>
      <xdr:col>16</xdr:col>
      <xdr:colOff>717747</xdr:colOff>
      <xdr:row>1</xdr:row>
      <xdr:rowOff>34926</xdr:rowOff>
    </xdr:from>
    <xdr:to>
      <xdr:col>23</xdr:col>
      <xdr:colOff>96717</xdr:colOff>
      <xdr:row>28</xdr:row>
      <xdr:rowOff>33617</xdr:rowOff>
    </xdr:to>
    <xdr:graphicFrame macro="">
      <xdr:nvGraphicFramePr>
        <xdr:cNvPr id="5" name="2 Gráfico">
          <a:extLst>
            <a:ext uri="{FF2B5EF4-FFF2-40B4-BE49-F238E27FC236}">
              <a16:creationId xmlns:a16="http://schemas.microsoft.com/office/drawing/2014/main" id="{5D7808C5-6C5D-488A-B6EF-060B6D075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706120</xdr:colOff>
      <xdr:row>1</xdr:row>
      <xdr:rowOff>34924</xdr:rowOff>
    </xdr:from>
    <xdr:to>
      <xdr:col>17</xdr:col>
      <xdr:colOff>479425</xdr:colOff>
      <xdr:row>28</xdr:row>
      <xdr:rowOff>44822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94F20034-74C2-4072-82B7-C209DEEDC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427245</xdr:colOff>
      <xdr:row>3</xdr:row>
      <xdr:rowOff>141025</xdr:rowOff>
    </xdr:from>
    <xdr:to>
      <xdr:col>12</xdr:col>
      <xdr:colOff>135780</xdr:colOff>
      <xdr:row>5</xdr:row>
      <xdr:rowOff>91440</xdr:rowOff>
    </xdr:to>
    <xdr:sp macro="" textlink="">
      <xdr:nvSpPr>
        <xdr:cNvPr id="7" name="4 CuadroTexto">
          <a:extLst>
            <a:ext uri="{FF2B5EF4-FFF2-40B4-BE49-F238E27FC236}">
              <a16:creationId xmlns:a16="http://schemas.microsoft.com/office/drawing/2014/main" id="{5F782192-CA73-44C5-875F-D5F7B6A0C321}"/>
            </a:ext>
          </a:extLst>
        </xdr:cNvPr>
        <xdr:cNvSpPr txBox="1"/>
      </xdr:nvSpPr>
      <xdr:spPr>
        <a:xfrm>
          <a:off x="7751410" y="849237"/>
          <a:ext cx="452605" cy="3090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Na+</a:t>
          </a:r>
        </a:p>
      </xdr:txBody>
    </xdr:sp>
    <xdr:clientData/>
  </xdr:twoCellAnchor>
  <xdr:twoCellAnchor>
    <xdr:from>
      <xdr:col>22</xdr:col>
      <xdr:colOff>79376</xdr:colOff>
      <xdr:row>4</xdr:row>
      <xdr:rowOff>708</xdr:rowOff>
    </xdr:from>
    <xdr:to>
      <xdr:col>22</xdr:col>
      <xdr:colOff>549911</xdr:colOff>
      <xdr:row>5</xdr:row>
      <xdr:rowOff>124571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EB2F0D1A-F85F-4F86-824B-9D3AB36CC015}"/>
            </a:ext>
          </a:extLst>
        </xdr:cNvPr>
        <xdr:cNvSpPr txBox="1"/>
      </xdr:nvSpPr>
      <xdr:spPr>
        <a:xfrm>
          <a:off x="15586076" y="896058"/>
          <a:ext cx="474345" cy="3067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Cl</a:t>
          </a:r>
        </a:p>
      </xdr:txBody>
    </xdr:sp>
    <xdr:clientData/>
  </xdr:twoCellAnchor>
  <xdr:twoCellAnchor>
    <xdr:from>
      <xdr:col>22</xdr:col>
      <xdr:colOff>94838</xdr:colOff>
      <xdr:row>10</xdr:row>
      <xdr:rowOff>149337</xdr:rowOff>
    </xdr:from>
    <xdr:to>
      <xdr:col>22</xdr:col>
      <xdr:colOff>666338</xdr:colOff>
      <xdr:row>12</xdr:row>
      <xdr:rowOff>74182</xdr:rowOff>
    </xdr:to>
    <xdr:sp macro="" textlink="">
      <xdr:nvSpPr>
        <xdr:cNvPr id="9" name="9 CuadroTexto">
          <a:extLst>
            <a:ext uri="{FF2B5EF4-FFF2-40B4-BE49-F238E27FC236}">
              <a16:creationId xmlns:a16="http://schemas.microsoft.com/office/drawing/2014/main" id="{E40A75B7-3DAE-4D7F-8114-F81323BFA9F6}"/>
            </a:ext>
          </a:extLst>
        </xdr:cNvPr>
        <xdr:cNvSpPr txBox="1"/>
      </xdr:nvSpPr>
      <xdr:spPr>
        <a:xfrm>
          <a:off x="15605348" y="2130537"/>
          <a:ext cx="571500" cy="286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HCO</a:t>
          </a:r>
          <a:r>
            <a:rPr lang="es-MX" sz="1000" baseline="-25000"/>
            <a:t>3</a:t>
          </a:r>
        </a:p>
      </xdr:txBody>
    </xdr:sp>
    <xdr:clientData/>
  </xdr:twoCellAnchor>
  <xdr:twoCellAnchor>
    <xdr:from>
      <xdr:col>22</xdr:col>
      <xdr:colOff>90580</xdr:colOff>
      <xdr:row>18</xdr:row>
      <xdr:rowOff>84454</xdr:rowOff>
    </xdr:from>
    <xdr:to>
      <xdr:col>22</xdr:col>
      <xdr:colOff>612551</xdr:colOff>
      <xdr:row>20</xdr:row>
      <xdr:rowOff>22186</xdr:rowOff>
    </xdr:to>
    <xdr:sp macro="" textlink="">
      <xdr:nvSpPr>
        <xdr:cNvPr id="10" name="10 CuadroTexto">
          <a:extLst>
            <a:ext uri="{FF2B5EF4-FFF2-40B4-BE49-F238E27FC236}">
              <a16:creationId xmlns:a16="http://schemas.microsoft.com/office/drawing/2014/main" id="{36B13B49-129F-47D8-971E-E9BCAE6E5714}"/>
            </a:ext>
          </a:extLst>
        </xdr:cNvPr>
        <xdr:cNvSpPr txBox="1"/>
      </xdr:nvSpPr>
      <xdr:spPr>
        <a:xfrm>
          <a:off x="15601090" y="3515359"/>
          <a:ext cx="518161" cy="274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SO</a:t>
          </a:r>
          <a:r>
            <a:rPr lang="es-MX" sz="1000" baseline="-25000"/>
            <a:t>4</a:t>
          </a:r>
        </a:p>
      </xdr:txBody>
    </xdr:sp>
    <xdr:clientData/>
  </xdr:twoCellAnchor>
  <xdr:twoCellAnchor>
    <xdr:from>
      <xdr:col>22</xdr:col>
      <xdr:colOff>97976</xdr:colOff>
      <xdr:row>25</xdr:row>
      <xdr:rowOff>161214</xdr:rowOff>
    </xdr:from>
    <xdr:to>
      <xdr:col>22</xdr:col>
      <xdr:colOff>627567</xdr:colOff>
      <xdr:row>27</xdr:row>
      <xdr:rowOff>97901</xdr:rowOff>
    </xdr:to>
    <xdr:sp macro="" textlink="">
      <xdr:nvSpPr>
        <xdr:cNvPr id="11" name="11 CuadroTexto">
          <a:extLst>
            <a:ext uri="{FF2B5EF4-FFF2-40B4-BE49-F238E27FC236}">
              <a16:creationId xmlns:a16="http://schemas.microsoft.com/office/drawing/2014/main" id="{354F3417-E0FF-4C01-ABF9-EE40E701C415}"/>
            </a:ext>
          </a:extLst>
        </xdr:cNvPr>
        <xdr:cNvSpPr txBox="1"/>
      </xdr:nvSpPr>
      <xdr:spPr>
        <a:xfrm>
          <a:off x="15600866" y="4792269"/>
          <a:ext cx="537211" cy="273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CO</a:t>
          </a:r>
          <a:r>
            <a:rPr lang="es-MX" sz="1000" baseline="-25000"/>
            <a:t>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379581</xdr:colOff>
      <xdr:row>26</xdr:row>
      <xdr:rowOff>6236</xdr:rowOff>
    </xdr:from>
    <xdr:to>
      <xdr:col>12</xdr:col>
      <xdr:colOff>203611</xdr:colOff>
      <xdr:row>27</xdr:row>
      <xdr:rowOff>69140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52F6AE90-EE2F-4E88-A45D-8F8E403F75E3}"/>
            </a:ext>
          </a:extLst>
        </xdr:cNvPr>
        <xdr:cNvSpPr txBox="1"/>
      </xdr:nvSpPr>
      <xdr:spPr>
        <a:xfrm>
          <a:off x="7713831" y="4808741"/>
          <a:ext cx="570790" cy="2305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Fe+++</a:t>
          </a:r>
        </a:p>
      </xdr:txBody>
    </xdr:sp>
    <xdr:clientData/>
  </xdr:twoCellAnchor>
  <xdr:twoCellAnchor>
    <xdr:from>
      <xdr:col>11</xdr:col>
      <xdr:colOff>413871</xdr:colOff>
      <xdr:row>18</xdr:row>
      <xdr:rowOff>163230</xdr:rowOff>
    </xdr:from>
    <xdr:to>
      <xdr:col>12</xdr:col>
      <xdr:colOff>566271</xdr:colOff>
      <xdr:row>20</xdr:row>
      <xdr:rowOff>82362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03855195-FBEF-479E-96B1-F7FB3D770806}"/>
            </a:ext>
          </a:extLst>
        </xdr:cNvPr>
        <xdr:cNvSpPr txBox="1"/>
      </xdr:nvSpPr>
      <xdr:spPr>
        <a:xfrm>
          <a:off x="7746216" y="3594135"/>
          <a:ext cx="895350" cy="2620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Mg++</a:t>
          </a:r>
        </a:p>
      </xdr:txBody>
    </xdr:sp>
    <xdr:clientData/>
  </xdr:twoCellAnchor>
  <xdr:twoCellAnchor>
    <xdr:from>
      <xdr:col>11</xdr:col>
      <xdr:colOff>412190</xdr:colOff>
      <xdr:row>11</xdr:row>
      <xdr:rowOff>51546</xdr:rowOff>
    </xdr:from>
    <xdr:to>
      <xdr:col>12</xdr:col>
      <xdr:colOff>507439</xdr:colOff>
      <xdr:row>12</xdr:row>
      <xdr:rowOff>151465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65BBBC8-0A18-4452-B964-40E0BEC00A3A}"/>
            </a:ext>
          </a:extLst>
        </xdr:cNvPr>
        <xdr:cNvSpPr txBox="1"/>
      </xdr:nvSpPr>
      <xdr:spPr>
        <a:xfrm>
          <a:off x="7744535" y="2217531"/>
          <a:ext cx="843914" cy="2770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Ca++</a:t>
          </a:r>
        </a:p>
      </xdr:txBody>
    </xdr:sp>
    <xdr:clientData/>
  </xdr:twoCellAnchor>
  <xdr:twoCellAnchor>
    <xdr:from>
      <xdr:col>16</xdr:col>
      <xdr:colOff>717747</xdr:colOff>
      <xdr:row>1</xdr:row>
      <xdr:rowOff>34926</xdr:rowOff>
    </xdr:from>
    <xdr:to>
      <xdr:col>23</xdr:col>
      <xdr:colOff>96717</xdr:colOff>
      <xdr:row>28</xdr:row>
      <xdr:rowOff>33617</xdr:rowOff>
    </xdr:to>
    <xdr:graphicFrame macro="">
      <xdr:nvGraphicFramePr>
        <xdr:cNvPr id="5" name="2 Gráfico">
          <a:extLst>
            <a:ext uri="{FF2B5EF4-FFF2-40B4-BE49-F238E27FC236}">
              <a16:creationId xmlns:a16="http://schemas.microsoft.com/office/drawing/2014/main" id="{4112ACFF-A89A-45C9-A89B-40E9D8DBB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706120</xdr:colOff>
      <xdr:row>1</xdr:row>
      <xdr:rowOff>34924</xdr:rowOff>
    </xdr:from>
    <xdr:to>
      <xdr:col>17</xdr:col>
      <xdr:colOff>479425</xdr:colOff>
      <xdr:row>28</xdr:row>
      <xdr:rowOff>44822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7A3DFE28-BF17-450D-BB33-65821C6D8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427245</xdr:colOff>
      <xdr:row>3</xdr:row>
      <xdr:rowOff>141025</xdr:rowOff>
    </xdr:from>
    <xdr:to>
      <xdr:col>12</xdr:col>
      <xdr:colOff>135780</xdr:colOff>
      <xdr:row>5</xdr:row>
      <xdr:rowOff>91440</xdr:rowOff>
    </xdr:to>
    <xdr:sp macro="" textlink="">
      <xdr:nvSpPr>
        <xdr:cNvPr id="7" name="4 CuadroTexto">
          <a:extLst>
            <a:ext uri="{FF2B5EF4-FFF2-40B4-BE49-F238E27FC236}">
              <a16:creationId xmlns:a16="http://schemas.microsoft.com/office/drawing/2014/main" id="{6D03A9CC-8B46-4040-B0A0-7EAB415C4671}"/>
            </a:ext>
          </a:extLst>
        </xdr:cNvPr>
        <xdr:cNvSpPr txBox="1"/>
      </xdr:nvSpPr>
      <xdr:spPr>
        <a:xfrm>
          <a:off x="7763400" y="853495"/>
          <a:ext cx="445770" cy="3180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Na+</a:t>
          </a:r>
        </a:p>
      </xdr:txBody>
    </xdr:sp>
    <xdr:clientData/>
  </xdr:twoCellAnchor>
  <xdr:twoCellAnchor>
    <xdr:from>
      <xdr:col>22</xdr:col>
      <xdr:colOff>79376</xdr:colOff>
      <xdr:row>4</xdr:row>
      <xdr:rowOff>708</xdr:rowOff>
    </xdr:from>
    <xdr:to>
      <xdr:col>22</xdr:col>
      <xdr:colOff>549911</xdr:colOff>
      <xdr:row>5</xdr:row>
      <xdr:rowOff>124571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DEED842E-A900-4DC2-B268-84A9D94F5B55}"/>
            </a:ext>
          </a:extLst>
        </xdr:cNvPr>
        <xdr:cNvSpPr txBox="1"/>
      </xdr:nvSpPr>
      <xdr:spPr>
        <a:xfrm>
          <a:off x="15586076" y="896058"/>
          <a:ext cx="474345" cy="3067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Cl</a:t>
          </a:r>
        </a:p>
      </xdr:txBody>
    </xdr:sp>
    <xdr:clientData/>
  </xdr:twoCellAnchor>
  <xdr:twoCellAnchor>
    <xdr:from>
      <xdr:col>22</xdr:col>
      <xdr:colOff>94838</xdr:colOff>
      <xdr:row>10</xdr:row>
      <xdr:rowOff>149337</xdr:rowOff>
    </xdr:from>
    <xdr:to>
      <xdr:col>22</xdr:col>
      <xdr:colOff>666338</xdr:colOff>
      <xdr:row>12</xdr:row>
      <xdr:rowOff>74182</xdr:rowOff>
    </xdr:to>
    <xdr:sp macro="" textlink="">
      <xdr:nvSpPr>
        <xdr:cNvPr id="9" name="9 CuadroTexto">
          <a:extLst>
            <a:ext uri="{FF2B5EF4-FFF2-40B4-BE49-F238E27FC236}">
              <a16:creationId xmlns:a16="http://schemas.microsoft.com/office/drawing/2014/main" id="{C782E320-C953-4028-A69F-989A01263A23}"/>
            </a:ext>
          </a:extLst>
        </xdr:cNvPr>
        <xdr:cNvSpPr txBox="1"/>
      </xdr:nvSpPr>
      <xdr:spPr>
        <a:xfrm>
          <a:off x="15605348" y="2130537"/>
          <a:ext cx="571500" cy="286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HCO</a:t>
          </a:r>
          <a:r>
            <a:rPr lang="es-MX" sz="1000" baseline="-25000"/>
            <a:t>3</a:t>
          </a:r>
        </a:p>
      </xdr:txBody>
    </xdr:sp>
    <xdr:clientData/>
  </xdr:twoCellAnchor>
  <xdr:twoCellAnchor>
    <xdr:from>
      <xdr:col>22</xdr:col>
      <xdr:colOff>90580</xdr:colOff>
      <xdr:row>18</xdr:row>
      <xdr:rowOff>84454</xdr:rowOff>
    </xdr:from>
    <xdr:to>
      <xdr:col>22</xdr:col>
      <xdr:colOff>612551</xdr:colOff>
      <xdr:row>20</xdr:row>
      <xdr:rowOff>22186</xdr:rowOff>
    </xdr:to>
    <xdr:sp macro="" textlink="">
      <xdr:nvSpPr>
        <xdr:cNvPr id="10" name="10 CuadroTexto">
          <a:extLst>
            <a:ext uri="{FF2B5EF4-FFF2-40B4-BE49-F238E27FC236}">
              <a16:creationId xmlns:a16="http://schemas.microsoft.com/office/drawing/2014/main" id="{F85E5694-F2B5-4620-87E9-21B78F551EC4}"/>
            </a:ext>
          </a:extLst>
        </xdr:cNvPr>
        <xdr:cNvSpPr txBox="1"/>
      </xdr:nvSpPr>
      <xdr:spPr>
        <a:xfrm>
          <a:off x="15601090" y="3515359"/>
          <a:ext cx="518161" cy="274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SO</a:t>
          </a:r>
          <a:r>
            <a:rPr lang="es-MX" sz="1000" baseline="-25000"/>
            <a:t>4</a:t>
          </a:r>
        </a:p>
      </xdr:txBody>
    </xdr:sp>
    <xdr:clientData/>
  </xdr:twoCellAnchor>
  <xdr:twoCellAnchor>
    <xdr:from>
      <xdr:col>22</xdr:col>
      <xdr:colOff>97976</xdr:colOff>
      <xdr:row>25</xdr:row>
      <xdr:rowOff>161214</xdr:rowOff>
    </xdr:from>
    <xdr:to>
      <xdr:col>22</xdr:col>
      <xdr:colOff>627567</xdr:colOff>
      <xdr:row>27</xdr:row>
      <xdr:rowOff>97901</xdr:rowOff>
    </xdr:to>
    <xdr:sp macro="" textlink="">
      <xdr:nvSpPr>
        <xdr:cNvPr id="11" name="11 CuadroTexto">
          <a:extLst>
            <a:ext uri="{FF2B5EF4-FFF2-40B4-BE49-F238E27FC236}">
              <a16:creationId xmlns:a16="http://schemas.microsoft.com/office/drawing/2014/main" id="{625FC86C-8C05-48FC-84EC-453DB94F53D3}"/>
            </a:ext>
          </a:extLst>
        </xdr:cNvPr>
        <xdr:cNvSpPr txBox="1"/>
      </xdr:nvSpPr>
      <xdr:spPr>
        <a:xfrm>
          <a:off x="15600866" y="4792269"/>
          <a:ext cx="537211" cy="273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CO</a:t>
          </a:r>
          <a:r>
            <a:rPr lang="es-MX" sz="1000" baseline="-25000"/>
            <a:t>3</a:t>
          </a:r>
        </a:p>
      </xdr:txBody>
    </xdr:sp>
    <xdr:clientData/>
  </xdr:twoCellAnchor>
  <xdr:twoCellAnchor>
    <xdr:from>
      <xdr:col>3</xdr:col>
      <xdr:colOff>134470</xdr:colOff>
      <xdr:row>11</xdr:row>
      <xdr:rowOff>64544</xdr:rowOff>
    </xdr:from>
    <xdr:to>
      <xdr:col>11</xdr:col>
      <xdr:colOff>0</xdr:colOff>
      <xdr:row>38</xdr:row>
      <xdr:rowOff>145676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8C9E73-4E64-AEC5-8835-6D591426E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386220</xdr:colOff>
      <xdr:row>40</xdr:row>
      <xdr:rowOff>79288</xdr:rowOff>
    </xdr:from>
    <xdr:to>
      <xdr:col>10</xdr:col>
      <xdr:colOff>65748</xdr:colOff>
      <xdr:row>60</xdr:row>
      <xdr:rowOff>12388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22F2771-8ED6-A02C-5B15-EC3CF4734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248453</xdr:colOff>
      <xdr:row>40</xdr:row>
      <xdr:rowOff>79718</xdr:rowOff>
    </xdr:from>
    <xdr:to>
      <xdr:col>14</xdr:col>
      <xdr:colOff>153202</xdr:colOff>
      <xdr:row>60</xdr:row>
      <xdr:rowOff>9008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6D2EF09-56D1-44F5-BA63-927757F22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379581</xdr:colOff>
      <xdr:row>26</xdr:row>
      <xdr:rowOff>6236</xdr:rowOff>
    </xdr:from>
    <xdr:to>
      <xdr:col>11</xdr:col>
      <xdr:colOff>203611</xdr:colOff>
      <xdr:row>27</xdr:row>
      <xdr:rowOff>69140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A624BB31-4894-4219-A0DA-1F3873125E0C}"/>
            </a:ext>
          </a:extLst>
        </xdr:cNvPr>
        <xdr:cNvSpPr txBox="1"/>
      </xdr:nvSpPr>
      <xdr:spPr>
        <a:xfrm>
          <a:off x="7513806" y="4863986"/>
          <a:ext cx="547930" cy="2248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Fe+</a:t>
          </a:r>
        </a:p>
      </xdr:txBody>
    </xdr:sp>
    <xdr:clientData/>
  </xdr:twoCellAnchor>
  <xdr:twoCellAnchor>
    <xdr:from>
      <xdr:col>10</xdr:col>
      <xdr:colOff>413871</xdr:colOff>
      <xdr:row>18</xdr:row>
      <xdr:rowOff>163230</xdr:rowOff>
    </xdr:from>
    <xdr:to>
      <xdr:col>11</xdr:col>
      <xdr:colOff>566271</xdr:colOff>
      <xdr:row>20</xdr:row>
      <xdr:rowOff>82362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AC4AE075-E59B-451C-82CA-1113802078A9}"/>
            </a:ext>
          </a:extLst>
        </xdr:cNvPr>
        <xdr:cNvSpPr txBox="1"/>
      </xdr:nvSpPr>
      <xdr:spPr>
        <a:xfrm>
          <a:off x="7548096" y="3725580"/>
          <a:ext cx="876300" cy="2429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Mg+</a:t>
          </a:r>
        </a:p>
      </xdr:txBody>
    </xdr:sp>
    <xdr:clientData/>
  </xdr:twoCellAnchor>
  <xdr:twoCellAnchor>
    <xdr:from>
      <xdr:col>10</xdr:col>
      <xdr:colOff>412190</xdr:colOff>
      <xdr:row>11</xdr:row>
      <xdr:rowOff>51546</xdr:rowOff>
    </xdr:from>
    <xdr:to>
      <xdr:col>11</xdr:col>
      <xdr:colOff>507439</xdr:colOff>
      <xdr:row>12</xdr:row>
      <xdr:rowOff>151465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DED9F52E-DD4E-447E-8AAA-991CDE765EE2}"/>
            </a:ext>
          </a:extLst>
        </xdr:cNvPr>
        <xdr:cNvSpPr txBox="1"/>
      </xdr:nvSpPr>
      <xdr:spPr>
        <a:xfrm>
          <a:off x="7546415" y="2280396"/>
          <a:ext cx="819149" cy="2904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Ca+</a:t>
          </a:r>
        </a:p>
      </xdr:txBody>
    </xdr:sp>
    <xdr:clientData/>
  </xdr:twoCellAnchor>
  <xdr:twoCellAnchor>
    <xdr:from>
      <xdr:col>15</xdr:col>
      <xdr:colOff>717747</xdr:colOff>
      <xdr:row>1</xdr:row>
      <xdr:rowOff>34926</xdr:rowOff>
    </xdr:from>
    <xdr:to>
      <xdr:col>22</xdr:col>
      <xdr:colOff>96717</xdr:colOff>
      <xdr:row>28</xdr:row>
      <xdr:rowOff>33617</xdr:rowOff>
    </xdr:to>
    <xdr:graphicFrame macro="">
      <xdr:nvGraphicFramePr>
        <xdr:cNvPr id="5" name="2 Gráfico">
          <a:extLst>
            <a:ext uri="{FF2B5EF4-FFF2-40B4-BE49-F238E27FC236}">
              <a16:creationId xmlns:a16="http://schemas.microsoft.com/office/drawing/2014/main" id="{4EEF14B9-BEA7-40B5-821D-976B9FBBF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706120</xdr:colOff>
      <xdr:row>1</xdr:row>
      <xdr:rowOff>34924</xdr:rowOff>
    </xdr:from>
    <xdr:to>
      <xdr:col>16</xdr:col>
      <xdr:colOff>479425</xdr:colOff>
      <xdr:row>28</xdr:row>
      <xdr:rowOff>44822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244EB8CC-220C-43FC-B75E-30249C2C6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427245</xdr:colOff>
      <xdr:row>3</xdr:row>
      <xdr:rowOff>141025</xdr:rowOff>
    </xdr:from>
    <xdr:to>
      <xdr:col>11</xdr:col>
      <xdr:colOff>135780</xdr:colOff>
      <xdr:row>5</xdr:row>
      <xdr:rowOff>91440</xdr:rowOff>
    </xdr:to>
    <xdr:sp macro="" textlink="">
      <xdr:nvSpPr>
        <xdr:cNvPr id="7" name="4 CuadroTexto">
          <a:extLst>
            <a:ext uri="{FF2B5EF4-FFF2-40B4-BE49-F238E27FC236}">
              <a16:creationId xmlns:a16="http://schemas.microsoft.com/office/drawing/2014/main" id="{F54123CC-10DD-4C6C-96E0-0EDCAC09D4AC}"/>
            </a:ext>
          </a:extLst>
        </xdr:cNvPr>
        <xdr:cNvSpPr txBox="1"/>
      </xdr:nvSpPr>
      <xdr:spPr>
        <a:xfrm>
          <a:off x="7561470" y="845875"/>
          <a:ext cx="432435" cy="3314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Na+</a:t>
          </a:r>
        </a:p>
      </xdr:txBody>
    </xdr:sp>
    <xdr:clientData/>
  </xdr:twoCellAnchor>
  <xdr:twoCellAnchor>
    <xdr:from>
      <xdr:col>21</xdr:col>
      <xdr:colOff>79376</xdr:colOff>
      <xdr:row>4</xdr:row>
      <xdr:rowOff>708</xdr:rowOff>
    </xdr:from>
    <xdr:to>
      <xdr:col>21</xdr:col>
      <xdr:colOff>549911</xdr:colOff>
      <xdr:row>5</xdr:row>
      <xdr:rowOff>124571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7EFE0AE6-44F7-47EB-A34B-9524EDA3DA8E}"/>
            </a:ext>
          </a:extLst>
        </xdr:cNvPr>
        <xdr:cNvSpPr txBox="1"/>
      </xdr:nvSpPr>
      <xdr:spPr>
        <a:xfrm>
          <a:off x="15176501" y="896058"/>
          <a:ext cx="470535" cy="3143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Cl</a:t>
          </a:r>
        </a:p>
      </xdr:txBody>
    </xdr:sp>
    <xdr:clientData/>
  </xdr:twoCellAnchor>
  <xdr:twoCellAnchor>
    <xdr:from>
      <xdr:col>21</xdr:col>
      <xdr:colOff>94838</xdr:colOff>
      <xdr:row>10</xdr:row>
      <xdr:rowOff>149337</xdr:rowOff>
    </xdr:from>
    <xdr:to>
      <xdr:col>21</xdr:col>
      <xdr:colOff>666338</xdr:colOff>
      <xdr:row>12</xdr:row>
      <xdr:rowOff>74182</xdr:rowOff>
    </xdr:to>
    <xdr:sp macro="" textlink="">
      <xdr:nvSpPr>
        <xdr:cNvPr id="9" name="9 CuadroTexto">
          <a:extLst>
            <a:ext uri="{FF2B5EF4-FFF2-40B4-BE49-F238E27FC236}">
              <a16:creationId xmlns:a16="http://schemas.microsoft.com/office/drawing/2014/main" id="{7391070A-1E23-4F28-B507-72144646C334}"/>
            </a:ext>
          </a:extLst>
        </xdr:cNvPr>
        <xdr:cNvSpPr txBox="1"/>
      </xdr:nvSpPr>
      <xdr:spPr>
        <a:xfrm>
          <a:off x="15191963" y="2187687"/>
          <a:ext cx="571500" cy="3058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HCO</a:t>
          </a:r>
          <a:r>
            <a:rPr lang="es-MX" sz="1000" baseline="-25000"/>
            <a:t>3</a:t>
          </a:r>
        </a:p>
      </xdr:txBody>
    </xdr:sp>
    <xdr:clientData/>
  </xdr:twoCellAnchor>
  <xdr:twoCellAnchor>
    <xdr:from>
      <xdr:col>21</xdr:col>
      <xdr:colOff>90580</xdr:colOff>
      <xdr:row>18</xdr:row>
      <xdr:rowOff>84454</xdr:rowOff>
    </xdr:from>
    <xdr:to>
      <xdr:col>21</xdr:col>
      <xdr:colOff>612551</xdr:colOff>
      <xdr:row>20</xdr:row>
      <xdr:rowOff>22186</xdr:rowOff>
    </xdr:to>
    <xdr:sp macro="" textlink="">
      <xdr:nvSpPr>
        <xdr:cNvPr id="10" name="10 CuadroTexto">
          <a:extLst>
            <a:ext uri="{FF2B5EF4-FFF2-40B4-BE49-F238E27FC236}">
              <a16:creationId xmlns:a16="http://schemas.microsoft.com/office/drawing/2014/main" id="{9ACC76E2-005F-4C46-9CDB-DA816948ED74}"/>
            </a:ext>
          </a:extLst>
        </xdr:cNvPr>
        <xdr:cNvSpPr txBox="1"/>
      </xdr:nvSpPr>
      <xdr:spPr>
        <a:xfrm>
          <a:off x="15187705" y="3646804"/>
          <a:ext cx="521971" cy="261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SO</a:t>
          </a:r>
          <a:r>
            <a:rPr lang="es-MX" sz="1000" baseline="-25000"/>
            <a:t>4</a:t>
          </a:r>
        </a:p>
      </xdr:txBody>
    </xdr:sp>
    <xdr:clientData/>
  </xdr:twoCellAnchor>
  <xdr:twoCellAnchor>
    <xdr:from>
      <xdr:col>21</xdr:col>
      <xdr:colOff>97976</xdr:colOff>
      <xdr:row>25</xdr:row>
      <xdr:rowOff>161214</xdr:rowOff>
    </xdr:from>
    <xdr:to>
      <xdr:col>21</xdr:col>
      <xdr:colOff>627567</xdr:colOff>
      <xdr:row>27</xdr:row>
      <xdr:rowOff>97901</xdr:rowOff>
    </xdr:to>
    <xdr:sp macro="" textlink="">
      <xdr:nvSpPr>
        <xdr:cNvPr id="11" name="11 CuadroTexto">
          <a:extLst>
            <a:ext uri="{FF2B5EF4-FFF2-40B4-BE49-F238E27FC236}">
              <a16:creationId xmlns:a16="http://schemas.microsoft.com/office/drawing/2014/main" id="{F7D35906-C0B2-4704-AF02-87515761CA1B}"/>
            </a:ext>
          </a:extLst>
        </xdr:cNvPr>
        <xdr:cNvSpPr txBox="1"/>
      </xdr:nvSpPr>
      <xdr:spPr>
        <a:xfrm>
          <a:off x="15195101" y="4857039"/>
          <a:ext cx="529591" cy="2605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CO</a:t>
          </a:r>
          <a:r>
            <a:rPr lang="es-MX" sz="1000" baseline="-25000"/>
            <a:t>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379581</xdr:colOff>
      <xdr:row>26</xdr:row>
      <xdr:rowOff>6236</xdr:rowOff>
    </xdr:from>
    <xdr:to>
      <xdr:col>12</xdr:col>
      <xdr:colOff>203611</xdr:colOff>
      <xdr:row>27</xdr:row>
      <xdr:rowOff>69140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42DC3613-3919-4874-AFDE-1D253C4C6FE3}"/>
            </a:ext>
          </a:extLst>
        </xdr:cNvPr>
        <xdr:cNvSpPr txBox="1"/>
      </xdr:nvSpPr>
      <xdr:spPr>
        <a:xfrm>
          <a:off x="7513806" y="4863986"/>
          <a:ext cx="547930" cy="2248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Fe+++</a:t>
          </a:r>
        </a:p>
      </xdr:txBody>
    </xdr:sp>
    <xdr:clientData/>
  </xdr:twoCellAnchor>
  <xdr:twoCellAnchor>
    <xdr:from>
      <xdr:col>11</xdr:col>
      <xdr:colOff>413871</xdr:colOff>
      <xdr:row>18</xdr:row>
      <xdr:rowOff>163230</xdr:rowOff>
    </xdr:from>
    <xdr:to>
      <xdr:col>12</xdr:col>
      <xdr:colOff>566271</xdr:colOff>
      <xdr:row>20</xdr:row>
      <xdr:rowOff>82362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230B9294-DC85-4275-A190-605FBD9EDD03}"/>
            </a:ext>
          </a:extLst>
        </xdr:cNvPr>
        <xdr:cNvSpPr txBox="1"/>
      </xdr:nvSpPr>
      <xdr:spPr>
        <a:xfrm>
          <a:off x="7548096" y="3725580"/>
          <a:ext cx="876300" cy="2429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Mg++</a:t>
          </a:r>
        </a:p>
      </xdr:txBody>
    </xdr:sp>
    <xdr:clientData/>
  </xdr:twoCellAnchor>
  <xdr:twoCellAnchor>
    <xdr:from>
      <xdr:col>11</xdr:col>
      <xdr:colOff>412190</xdr:colOff>
      <xdr:row>11</xdr:row>
      <xdr:rowOff>51546</xdr:rowOff>
    </xdr:from>
    <xdr:to>
      <xdr:col>12</xdr:col>
      <xdr:colOff>507439</xdr:colOff>
      <xdr:row>12</xdr:row>
      <xdr:rowOff>151465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F4AEE09-6153-44DE-A4C1-0B81B1215B1F}"/>
            </a:ext>
          </a:extLst>
        </xdr:cNvPr>
        <xdr:cNvSpPr txBox="1"/>
      </xdr:nvSpPr>
      <xdr:spPr>
        <a:xfrm>
          <a:off x="7546415" y="2280396"/>
          <a:ext cx="819149" cy="2904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Ca++</a:t>
          </a:r>
        </a:p>
      </xdr:txBody>
    </xdr:sp>
    <xdr:clientData/>
  </xdr:twoCellAnchor>
  <xdr:twoCellAnchor>
    <xdr:from>
      <xdr:col>16</xdr:col>
      <xdr:colOff>717747</xdr:colOff>
      <xdr:row>1</xdr:row>
      <xdr:rowOff>34926</xdr:rowOff>
    </xdr:from>
    <xdr:to>
      <xdr:col>23</xdr:col>
      <xdr:colOff>96717</xdr:colOff>
      <xdr:row>28</xdr:row>
      <xdr:rowOff>33617</xdr:rowOff>
    </xdr:to>
    <xdr:graphicFrame macro="">
      <xdr:nvGraphicFramePr>
        <xdr:cNvPr id="5" name="2 Gráfico">
          <a:extLst>
            <a:ext uri="{FF2B5EF4-FFF2-40B4-BE49-F238E27FC236}">
              <a16:creationId xmlns:a16="http://schemas.microsoft.com/office/drawing/2014/main" id="{2AFA5B42-C129-4EA4-9468-599C2205A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706120</xdr:colOff>
      <xdr:row>1</xdr:row>
      <xdr:rowOff>34924</xdr:rowOff>
    </xdr:from>
    <xdr:to>
      <xdr:col>17</xdr:col>
      <xdr:colOff>479425</xdr:colOff>
      <xdr:row>28</xdr:row>
      <xdr:rowOff>44822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37787E8D-6FED-415D-9767-50211F315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427245</xdr:colOff>
      <xdr:row>3</xdr:row>
      <xdr:rowOff>141025</xdr:rowOff>
    </xdr:from>
    <xdr:to>
      <xdr:col>12</xdr:col>
      <xdr:colOff>135780</xdr:colOff>
      <xdr:row>5</xdr:row>
      <xdr:rowOff>91440</xdr:rowOff>
    </xdr:to>
    <xdr:sp macro="" textlink="">
      <xdr:nvSpPr>
        <xdr:cNvPr id="7" name="4 CuadroTexto">
          <a:extLst>
            <a:ext uri="{FF2B5EF4-FFF2-40B4-BE49-F238E27FC236}">
              <a16:creationId xmlns:a16="http://schemas.microsoft.com/office/drawing/2014/main" id="{A494AEA4-6137-4513-A3C9-88512C65A798}"/>
            </a:ext>
          </a:extLst>
        </xdr:cNvPr>
        <xdr:cNvSpPr txBox="1"/>
      </xdr:nvSpPr>
      <xdr:spPr>
        <a:xfrm>
          <a:off x="7561470" y="845875"/>
          <a:ext cx="432435" cy="3314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Na+</a:t>
          </a:r>
        </a:p>
      </xdr:txBody>
    </xdr:sp>
    <xdr:clientData/>
  </xdr:twoCellAnchor>
  <xdr:twoCellAnchor>
    <xdr:from>
      <xdr:col>22</xdr:col>
      <xdr:colOff>79376</xdr:colOff>
      <xdr:row>4</xdr:row>
      <xdr:rowOff>708</xdr:rowOff>
    </xdr:from>
    <xdr:to>
      <xdr:col>22</xdr:col>
      <xdr:colOff>549911</xdr:colOff>
      <xdr:row>5</xdr:row>
      <xdr:rowOff>124571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329DA488-B4F3-426C-BED9-BEA470E2D016}"/>
            </a:ext>
          </a:extLst>
        </xdr:cNvPr>
        <xdr:cNvSpPr txBox="1"/>
      </xdr:nvSpPr>
      <xdr:spPr>
        <a:xfrm>
          <a:off x="15176501" y="896058"/>
          <a:ext cx="470535" cy="3143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Cl</a:t>
          </a:r>
        </a:p>
      </xdr:txBody>
    </xdr:sp>
    <xdr:clientData/>
  </xdr:twoCellAnchor>
  <xdr:twoCellAnchor>
    <xdr:from>
      <xdr:col>22</xdr:col>
      <xdr:colOff>94838</xdr:colOff>
      <xdr:row>10</xdr:row>
      <xdr:rowOff>149337</xdr:rowOff>
    </xdr:from>
    <xdr:to>
      <xdr:col>22</xdr:col>
      <xdr:colOff>666338</xdr:colOff>
      <xdr:row>12</xdr:row>
      <xdr:rowOff>74182</xdr:rowOff>
    </xdr:to>
    <xdr:sp macro="" textlink="">
      <xdr:nvSpPr>
        <xdr:cNvPr id="9" name="9 CuadroTexto">
          <a:extLst>
            <a:ext uri="{FF2B5EF4-FFF2-40B4-BE49-F238E27FC236}">
              <a16:creationId xmlns:a16="http://schemas.microsoft.com/office/drawing/2014/main" id="{5BD8BDF6-ABF9-4FF9-A69B-4F45F0D8A87F}"/>
            </a:ext>
          </a:extLst>
        </xdr:cNvPr>
        <xdr:cNvSpPr txBox="1"/>
      </xdr:nvSpPr>
      <xdr:spPr>
        <a:xfrm>
          <a:off x="15191963" y="2187687"/>
          <a:ext cx="571500" cy="3058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HCO</a:t>
          </a:r>
          <a:r>
            <a:rPr lang="es-MX" sz="1000" baseline="-25000"/>
            <a:t>3</a:t>
          </a:r>
        </a:p>
      </xdr:txBody>
    </xdr:sp>
    <xdr:clientData/>
  </xdr:twoCellAnchor>
  <xdr:twoCellAnchor>
    <xdr:from>
      <xdr:col>22</xdr:col>
      <xdr:colOff>90580</xdr:colOff>
      <xdr:row>18</xdr:row>
      <xdr:rowOff>84454</xdr:rowOff>
    </xdr:from>
    <xdr:to>
      <xdr:col>22</xdr:col>
      <xdr:colOff>612551</xdr:colOff>
      <xdr:row>20</xdr:row>
      <xdr:rowOff>22186</xdr:rowOff>
    </xdr:to>
    <xdr:sp macro="" textlink="">
      <xdr:nvSpPr>
        <xdr:cNvPr id="10" name="10 CuadroTexto">
          <a:extLst>
            <a:ext uri="{FF2B5EF4-FFF2-40B4-BE49-F238E27FC236}">
              <a16:creationId xmlns:a16="http://schemas.microsoft.com/office/drawing/2014/main" id="{8A22ADAD-7AAE-456C-90C0-E0C8B2775D5A}"/>
            </a:ext>
          </a:extLst>
        </xdr:cNvPr>
        <xdr:cNvSpPr txBox="1"/>
      </xdr:nvSpPr>
      <xdr:spPr>
        <a:xfrm>
          <a:off x="15187705" y="3646804"/>
          <a:ext cx="521971" cy="261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SO</a:t>
          </a:r>
          <a:r>
            <a:rPr lang="es-MX" sz="1000" baseline="-25000"/>
            <a:t>4</a:t>
          </a:r>
        </a:p>
      </xdr:txBody>
    </xdr:sp>
    <xdr:clientData/>
  </xdr:twoCellAnchor>
  <xdr:twoCellAnchor>
    <xdr:from>
      <xdr:col>22</xdr:col>
      <xdr:colOff>97976</xdr:colOff>
      <xdr:row>25</xdr:row>
      <xdr:rowOff>161214</xdr:rowOff>
    </xdr:from>
    <xdr:to>
      <xdr:col>22</xdr:col>
      <xdr:colOff>627567</xdr:colOff>
      <xdr:row>27</xdr:row>
      <xdr:rowOff>97901</xdr:rowOff>
    </xdr:to>
    <xdr:sp macro="" textlink="">
      <xdr:nvSpPr>
        <xdr:cNvPr id="11" name="11 CuadroTexto">
          <a:extLst>
            <a:ext uri="{FF2B5EF4-FFF2-40B4-BE49-F238E27FC236}">
              <a16:creationId xmlns:a16="http://schemas.microsoft.com/office/drawing/2014/main" id="{E09C2371-1CA9-40D7-A0EF-35A5CCD3F8BC}"/>
            </a:ext>
          </a:extLst>
        </xdr:cNvPr>
        <xdr:cNvSpPr txBox="1"/>
      </xdr:nvSpPr>
      <xdr:spPr>
        <a:xfrm>
          <a:off x="15195101" y="4857039"/>
          <a:ext cx="529591" cy="2605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/>
            <a:t>CO</a:t>
          </a:r>
          <a:r>
            <a:rPr lang="es-MX" sz="1000" baseline="-25000"/>
            <a:t>3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0DD7-0DCA-4051-AA83-4E3A73AD7CF4}">
  <dimension ref="A1:Y31"/>
  <sheetViews>
    <sheetView tabSelected="1" zoomScale="85" zoomScaleNormal="85" workbookViewId="0">
      <selection activeCell="U33" sqref="U33"/>
    </sheetView>
  </sheetViews>
  <sheetFormatPr baseColWidth="10" defaultColWidth="10.85546875" defaultRowHeight="12.75" x14ac:dyDescent="0.2"/>
  <cols>
    <col min="1" max="1" width="12.5703125" style="1" customWidth="1"/>
    <col min="2" max="2" width="10.85546875" style="2" customWidth="1"/>
    <col min="3" max="3" width="11" style="1" customWidth="1"/>
    <col min="4" max="4" width="8.5703125" style="1" customWidth="1"/>
    <col min="5" max="5" width="8.140625" style="1" customWidth="1"/>
    <col min="6" max="6" width="7.28515625" style="1" customWidth="1"/>
    <col min="7" max="7" width="9.42578125" style="1" customWidth="1"/>
    <col min="8" max="8" width="10.85546875" style="1"/>
    <col min="9" max="9" width="9.140625" style="1" customWidth="1"/>
    <col min="10" max="11" width="9.5703125" style="1" customWidth="1"/>
    <col min="12" max="16384" width="10.85546875" style="1"/>
  </cols>
  <sheetData>
    <row r="1" spans="1:25" ht="15" x14ac:dyDescent="0.25">
      <c r="C1" t="s">
        <v>0</v>
      </c>
      <c r="E1">
        <v>1</v>
      </c>
      <c r="F1">
        <v>2</v>
      </c>
      <c r="G1">
        <v>3</v>
      </c>
      <c r="H1">
        <v>4</v>
      </c>
    </row>
    <row r="2" spans="1:25" ht="25.5" x14ac:dyDescent="0.25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7" t="s">
        <v>17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/>
    </row>
    <row r="3" spans="1:25" ht="15" x14ac:dyDescent="0.25">
      <c r="A3" s="8" t="s">
        <v>29</v>
      </c>
      <c r="B3" s="9">
        <v>40025</v>
      </c>
      <c r="C3" s="8">
        <v>275.04000000000002</v>
      </c>
      <c r="D3" s="8">
        <v>13.42</v>
      </c>
      <c r="E3" s="8">
        <v>4.24</v>
      </c>
      <c r="F3" s="8">
        <v>2.7298</v>
      </c>
      <c r="G3" s="8">
        <v>256.18</v>
      </c>
      <c r="H3" s="8">
        <v>31.45</v>
      </c>
      <c r="I3" s="8">
        <v>7.8075000000000001</v>
      </c>
      <c r="J3" s="8">
        <v>1</v>
      </c>
      <c r="K3" s="10">
        <v>14882</v>
      </c>
      <c r="L3" s="14"/>
      <c r="M3" s="14"/>
      <c r="N3" s="14"/>
      <c r="O3" s="14"/>
      <c r="P3" s="14"/>
      <c r="Q3" s="14"/>
      <c r="R3" s="14"/>
      <c r="S3" s="13"/>
      <c r="T3" s="13"/>
      <c r="U3" s="13"/>
      <c r="V3" s="13"/>
      <c r="W3" s="13"/>
      <c r="X3" s="13"/>
      <c r="Y3"/>
    </row>
    <row r="4" spans="1:25" ht="15" x14ac:dyDescent="0.25">
      <c r="A4" s="8" t="s">
        <v>30</v>
      </c>
      <c r="B4" s="9">
        <v>40042</v>
      </c>
      <c r="C4" s="8">
        <v>173.6</v>
      </c>
      <c r="D4" s="8">
        <v>6.24</v>
      </c>
      <c r="E4" s="8">
        <v>3.65</v>
      </c>
      <c r="F4" s="8">
        <v>0.98450000000000004</v>
      </c>
      <c r="G4" s="8">
        <v>152.11000000000001</v>
      </c>
      <c r="H4" s="8">
        <v>20.405000000000001</v>
      </c>
      <c r="I4" s="8">
        <v>11.971500000000001</v>
      </c>
      <c r="J4" s="8">
        <v>1</v>
      </c>
      <c r="K4" s="10">
        <v>8874</v>
      </c>
      <c r="L4" s="14"/>
      <c r="M4" s="14"/>
      <c r="N4" s="14"/>
      <c r="O4" s="14"/>
      <c r="P4" s="14"/>
      <c r="Q4" s="14"/>
      <c r="R4" s="14"/>
      <c r="S4" s="13"/>
      <c r="T4" s="13"/>
      <c r="U4" s="13"/>
      <c r="V4" s="13"/>
      <c r="W4" s="13"/>
      <c r="X4" s="13"/>
      <c r="Y4"/>
    </row>
    <row r="5" spans="1:25" ht="15" x14ac:dyDescent="0.25">
      <c r="A5" s="8" t="s">
        <v>31</v>
      </c>
      <c r="B5" s="9">
        <v>42985</v>
      </c>
      <c r="C5" s="8">
        <v>560</v>
      </c>
      <c r="D5" s="8">
        <v>22.997</v>
      </c>
      <c r="E5" s="8">
        <v>14.5</v>
      </c>
      <c r="F5" s="8">
        <v>1</v>
      </c>
      <c r="G5" s="8">
        <v>560.63</v>
      </c>
      <c r="H5" s="8">
        <v>26.667000000000002</v>
      </c>
      <c r="I5" s="8">
        <v>10.670999999999999</v>
      </c>
      <c r="J5" s="8">
        <v>1</v>
      </c>
      <c r="K5" s="10">
        <v>31861</v>
      </c>
      <c r="L5" s="14"/>
      <c r="M5" s="14"/>
      <c r="N5" s="14"/>
      <c r="O5" s="14"/>
      <c r="P5" s="14"/>
      <c r="Q5" s="14"/>
      <c r="R5" s="14"/>
      <c r="S5" s="13"/>
      <c r="T5" s="13"/>
      <c r="U5" s="13"/>
      <c r="V5" s="13"/>
      <c r="W5" s="13"/>
      <c r="X5" s="13"/>
      <c r="Y5"/>
    </row>
    <row r="6" spans="1:25" ht="15" x14ac:dyDescent="0.25">
      <c r="A6" s="8"/>
      <c r="B6" s="9"/>
      <c r="C6" s="8"/>
      <c r="D6" s="8"/>
      <c r="E6" s="8"/>
      <c r="F6" s="8"/>
      <c r="G6" s="8"/>
      <c r="H6" s="8"/>
      <c r="I6" s="8"/>
      <c r="J6" s="8"/>
      <c r="K6" s="10"/>
      <c r="L6" s="14"/>
      <c r="M6" s="14"/>
      <c r="N6" s="14"/>
      <c r="O6" s="14"/>
      <c r="P6" s="14"/>
      <c r="Q6" s="14"/>
      <c r="R6" s="14"/>
      <c r="S6" s="13"/>
      <c r="T6" s="13"/>
      <c r="U6" s="13"/>
      <c r="V6" s="13"/>
      <c r="W6" s="13"/>
      <c r="X6" s="13"/>
      <c r="Y6"/>
    </row>
    <row r="7" spans="1:25" ht="15" x14ac:dyDescent="0.25">
      <c r="A7" s="8"/>
      <c r="B7" s="9"/>
      <c r="C7" s="8"/>
      <c r="D7" s="8"/>
      <c r="E7" s="8"/>
      <c r="F7" s="8"/>
      <c r="G7" s="8"/>
      <c r="H7" s="8"/>
      <c r="I7" s="8"/>
      <c r="J7" s="8"/>
      <c r="K7" s="10"/>
      <c r="L7" s="14"/>
      <c r="M7" s="14"/>
      <c r="N7" s="14"/>
      <c r="O7" s="14"/>
      <c r="P7" s="14"/>
      <c r="Q7" s="14"/>
      <c r="R7" s="14"/>
      <c r="S7" s="13"/>
      <c r="T7" s="13"/>
      <c r="U7" s="13"/>
      <c r="V7" s="13"/>
      <c r="W7" s="13"/>
      <c r="X7" s="13"/>
      <c r="Y7"/>
    </row>
    <row r="8" spans="1:25" ht="15" x14ac:dyDescent="0.25">
      <c r="A8" s="8"/>
      <c r="B8" s="9"/>
      <c r="C8" s="8"/>
      <c r="D8" s="8"/>
      <c r="E8" s="8"/>
      <c r="F8" s="8"/>
      <c r="G8" s="8"/>
      <c r="H8" s="8"/>
      <c r="I8" s="8"/>
      <c r="J8" s="8"/>
      <c r="K8" s="10"/>
      <c r="L8" s="14"/>
      <c r="M8" s="14"/>
      <c r="N8" s="14"/>
      <c r="O8" s="14"/>
      <c r="P8" s="14"/>
      <c r="Q8" s="14"/>
      <c r="R8" s="14"/>
      <c r="S8" s="13"/>
      <c r="T8" s="13"/>
      <c r="U8" s="13"/>
      <c r="V8" s="13"/>
      <c r="W8" s="13"/>
      <c r="X8" s="13"/>
      <c r="Y8"/>
    </row>
    <row r="9" spans="1:25" ht="15" x14ac:dyDescent="0.25">
      <c r="A9" s="3"/>
      <c r="B9" s="2" t="e">
        <f>VLOOKUP(A9,#REF!,2)</f>
        <v>#REF!</v>
      </c>
      <c r="C9" s="3" t="e">
        <f>VLOOKUP(A9,#REF!,3)</f>
        <v>#REF!</v>
      </c>
      <c r="D9" s="3" t="e">
        <f>VLOOKUP(A9,#REF!,4)</f>
        <v>#REF!</v>
      </c>
      <c r="E9" s="3" t="e">
        <f>VLOOKUP(A9,#REF!,5)</f>
        <v>#REF!</v>
      </c>
      <c r="F9" s="3" t="e">
        <f>VLOOKUP(A9,#REF!,6)</f>
        <v>#REF!</v>
      </c>
      <c r="G9" s="3" t="e">
        <f>VLOOKUP(A9,#REF!,7)</f>
        <v>#REF!</v>
      </c>
      <c r="H9" s="3" t="e">
        <f>VLOOKUP(A9,#REF!,8)</f>
        <v>#REF!</v>
      </c>
      <c r="I9" s="3" t="e">
        <f>VLOOKUP(A9,#REF!,9)</f>
        <v>#REF!</v>
      </c>
      <c r="J9" s="3" t="e">
        <f>VLOOKUP(A9,#REF!,12)</f>
        <v>#REF!</v>
      </c>
      <c r="K9" s="3"/>
      <c r="L9" s="14"/>
      <c r="M9" s="14"/>
      <c r="N9" s="14"/>
      <c r="O9" s="14"/>
      <c r="P9" s="14"/>
      <c r="Q9" s="14"/>
      <c r="R9" s="14"/>
      <c r="S9" s="13"/>
      <c r="T9" s="13"/>
      <c r="U9" s="13"/>
      <c r="V9" s="13"/>
      <c r="W9" s="13"/>
      <c r="X9" s="13"/>
      <c r="Y9"/>
    </row>
    <row r="10" spans="1:25" ht="15" x14ac:dyDescent="0.25">
      <c r="A10" s="3"/>
      <c r="B10" s="2" t="e">
        <f>VLOOKUP(A10,#REF!,2)</f>
        <v>#REF!</v>
      </c>
      <c r="C10" s="3" t="e">
        <f>VLOOKUP(A10,#REF!,3)</f>
        <v>#REF!</v>
      </c>
      <c r="D10" s="3" t="e">
        <f>VLOOKUP(A10,#REF!,4)</f>
        <v>#REF!</v>
      </c>
      <c r="E10" s="3" t="e">
        <f>VLOOKUP(A10,#REF!,5)</f>
        <v>#REF!</v>
      </c>
      <c r="F10" s="3" t="e">
        <f>VLOOKUP(A10,#REF!,6)</f>
        <v>#REF!</v>
      </c>
      <c r="G10" s="3" t="e">
        <f>VLOOKUP(A10,#REF!,7)</f>
        <v>#REF!</v>
      </c>
      <c r="H10" s="3" t="e">
        <f>VLOOKUP(A10,#REF!,8)</f>
        <v>#REF!</v>
      </c>
      <c r="I10" s="3" t="e">
        <f>VLOOKUP(A10,#REF!,9)</f>
        <v>#REF!</v>
      </c>
      <c r="J10" s="3" t="e">
        <f>VLOOKUP(A10,#REF!,12)</f>
        <v>#REF!</v>
      </c>
      <c r="K10" s="3"/>
      <c r="L10" s="14"/>
      <c r="M10" s="14"/>
      <c r="N10" s="14"/>
      <c r="O10" s="14"/>
      <c r="P10" s="14"/>
      <c r="Q10" s="14"/>
      <c r="R10" s="14"/>
      <c r="S10" s="13"/>
      <c r="T10" s="13"/>
      <c r="U10" s="13"/>
      <c r="V10" s="13"/>
      <c r="W10" s="13"/>
      <c r="X10" s="13"/>
      <c r="Y10"/>
    </row>
    <row r="11" spans="1:25" ht="15" x14ac:dyDescent="0.25">
      <c r="A11" s="3"/>
      <c r="B11" s="2" t="e">
        <f>VLOOKUP(A11,#REF!,2)</f>
        <v>#REF!</v>
      </c>
      <c r="C11" s="3" t="e">
        <f>VLOOKUP(A11,#REF!,3)</f>
        <v>#REF!</v>
      </c>
      <c r="D11" s="3" t="e">
        <f>VLOOKUP(A11,#REF!,4)</f>
        <v>#REF!</v>
      </c>
      <c r="E11" s="3" t="e">
        <f>VLOOKUP(A11,#REF!,5)</f>
        <v>#REF!</v>
      </c>
      <c r="F11" s="3" t="e">
        <f>VLOOKUP(A11,#REF!,6)</f>
        <v>#REF!</v>
      </c>
      <c r="G11" s="3" t="e">
        <f>VLOOKUP(A11,#REF!,7)</f>
        <v>#REF!</v>
      </c>
      <c r="H11" s="3" t="e">
        <f>VLOOKUP(A11,#REF!,8)</f>
        <v>#REF!</v>
      </c>
      <c r="I11" s="3" t="e">
        <f>VLOOKUP(A11,#REF!,9)</f>
        <v>#REF!</v>
      </c>
      <c r="J11" s="3" t="e">
        <f>VLOOKUP(A11,#REF!,12)</f>
        <v>#REF!</v>
      </c>
      <c r="K11" s="3"/>
      <c r="L11" s="14"/>
      <c r="M11" s="14"/>
      <c r="N11" s="14"/>
      <c r="O11" s="14"/>
      <c r="P11" s="14"/>
      <c r="Q11" s="14"/>
      <c r="R11" s="14"/>
      <c r="S11" s="13"/>
      <c r="T11" s="13"/>
      <c r="U11" s="13"/>
      <c r="V11" s="13"/>
      <c r="W11" s="13"/>
      <c r="X11" s="13"/>
      <c r="Y11"/>
    </row>
    <row r="12" spans="1:25" ht="15" x14ac:dyDescent="0.25">
      <c r="A12" s="3"/>
      <c r="B12" s="2" t="e">
        <f>VLOOKUP(A12,#REF!,2)</f>
        <v>#REF!</v>
      </c>
      <c r="C12" s="3" t="e">
        <f>VLOOKUP(A12,#REF!,3)</f>
        <v>#REF!</v>
      </c>
      <c r="D12" s="3" t="e">
        <f>VLOOKUP(A12,#REF!,4)</f>
        <v>#REF!</v>
      </c>
      <c r="E12" s="3" t="e">
        <f>VLOOKUP(A12,#REF!,5)</f>
        <v>#REF!</v>
      </c>
      <c r="F12" s="3" t="e">
        <f>VLOOKUP(A12,#REF!,6)</f>
        <v>#REF!</v>
      </c>
      <c r="G12" s="3" t="e">
        <f>VLOOKUP(A12,#REF!,7)</f>
        <v>#REF!</v>
      </c>
      <c r="H12" s="3" t="e">
        <f>VLOOKUP(A12,#REF!,8)</f>
        <v>#REF!</v>
      </c>
      <c r="I12" s="3" t="e">
        <f>VLOOKUP(A12,#REF!,9)</f>
        <v>#REF!</v>
      </c>
      <c r="J12" s="3" t="e">
        <f>VLOOKUP(A12,#REF!,12)</f>
        <v>#REF!</v>
      </c>
      <c r="K12" s="3"/>
      <c r="L12" s="14"/>
      <c r="M12" s="14"/>
      <c r="N12" s="14"/>
      <c r="O12" s="14"/>
      <c r="P12" s="14"/>
      <c r="Q12" s="14"/>
      <c r="R12" s="14"/>
      <c r="S12" s="13"/>
      <c r="T12" s="13"/>
      <c r="U12" s="13"/>
      <c r="V12" s="13"/>
      <c r="W12" s="13"/>
      <c r="X12" s="13"/>
      <c r="Y12"/>
    </row>
    <row r="13" spans="1:25" ht="15" x14ac:dyDescent="0.25">
      <c r="A13" s="3"/>
      <c r="B13" s="2" t="e">
        <f>VLOOKUP(A13,#REF!,2)</f>
        <v>#REF!</v>
      </c>
      <c r="C13" s="3" t="e">
        <f>VLOOKUP(A13,#REF!,3)</f>
        <v>#REF!</v>
      </c>
      <c r="D13" s="3" t="e">
        <f>VLOOKUP(A13,#REF!,4)</f>
        <v>#REF!</v>
      </c>
      <c r="E13" s="3" t="e">
        <f>VLOOKUP(A13,#REF!,5)</f>
        <v>#REF!</v>
      </c>
      <c r="F13" s="3" t="e">
        <f>VLOOKUP(A13,#REF!,6)</f>
        <v>#REF!</v>
      </c>
      <c r="G13" s="3" t="e">
        <f>VLOOKUP(A13,#REF!,7)</f>
        <v>#REF!</v>
      </c>
      <c r="H13" s="3" t="e">
        <f>VLOOKUP(A13,#REF!,8)</f>
        <v>#REF!</v>
      </c>
      <c r="I13" s="3" t="e">
        <f>VLOOKUP(A13,#REF!,9)</f>
        <v>#REF!</v>
      </c>
      <c r="J13" s="3" t="e">
        <f>VLOOKUP(A13,#REF!,12)</f>
        <v>#REF!</v>
      </c>
      <c r="K13" s="3"/>
      <c r="L13" s="14"/>
      <c r="M13" s="14"/>
      <c r="N13" s="14"/>
      <c r="O13" s="14"/>
      <c r="P13" s="14"/>
      <c r="Q13" s="14"/>
      <c r="R13" s="14"/>
      <c r="S13" s="13"/>
      <c r="T13" s="13"/>
      <c r="U13" s="13"/>
      <c r="V13" s="13"/>
      <c r="W13" s="13"/>
      <c r="X13" s="13"/>
      <c r="Y13"/>
    </row>
    <row r="14" spans="1:25" ht="15" x14ac:dyDescent="0.25">
      <c r="A14" s="3"/>
      <c r="B14" s="2" t="e">
        <f>VLOOKUP(A14,#REF!,2)</f>
        <v>#REF!</v>
      </c>
      <c r="C14" s="3" t="e">
        <f>VLOOKUP(A14,#REF!,3)</f>
        <v>#REF!</v>
      </c>
      <c r="D14" s="3" t="e">
        <f>VLOOKUP(A14,#REF!,4)</f>
        <v>#REF!</v>
      </c>
      <c r="E14" s="3" t="e">
        <f>VLOOKUP(A14,#REF!,5)</f>
        <v>#REF!</v>
      </c>
      <c r="F14" s="3" t="e">
        <f>VLOOKUP(A14,#REF!,6)</f>
        <v>#REF!</v>
      </c>
      <c r="G14" s="3" t="e">
        <f>VLOOKUP(A14,#REF!,7)</f>
        <v>#REF!</v>
      </c>
      <c r="H14" s="3" t="e">
        <f>VLOOKUP(A14,#REF!,8)</f>
        <v>#REF!</v>
      </c>
      <c r="I14" s="3" t="e">
        <f>VLOOKUP(A14,#REF!,9)</f>
        <v>#REF!</v>
      </c>
      <c r="J14" s="3" t="e">
        <f>VLOOKUP(A14,#REF!,12)</f>
        <v>#REF!</v>
      </c>
      <c r="K14" s="3"/>
      <c r="L14" s="14"/>
      <c r="M14" s="14"/>
      <c r="N14" s="14"/>
      <c r="O14" s="14"/>
      <c r="P14" s="14"/>
      <c r="Q14" s="14"/>
      <c r="R14" s="14"/>
      <c r="S14" s="13"/>
      <c r="T14" s="13"/>
      <c r="U14" s="13"/>
      <c r="V14" s="13"/>
      <c r="W14" s="13"/>
      <c r="X14" s="13"/>
      <c r="Y14"/>
    </row>
    <row r="15" spans="1:25" ht="15" x14ac:dyDescent="0.25">
      <c r="A15" s="3"/>
      <c r="B15" s="2" t="e">
        <f>VLOOKUP(A15,#REF!,2)</f>
        <v>#REF!</v>
      </c>
      <c r="C15" s="3" t="e">
        <f>VLOOKUP(A15,#REF!,3)</f>
        <v>#REF!</v>
      </c>
      <c r="D15" s="3" t="e">
        <f>VLOOKUP(A15,#REF!,4)</f>
        <v>#REF!</v>
      </c>
      <c r="E15" s="3" t="e">
        <f>VLOOKUP(A15,#REF!,5)</f>
        <v>#REF!</v>
      </c>
      <c r="F15" s="3" t="e">
        <f>VLOOKUP(A15,#REF!,6)</f>
        <v>#REF!</v>
      </c>
      <c r="G15" s="3" t="e">
        <f>VLOOKUP(A15,#REF!,7)</f>
        <v>#REF!</v>
      </c>
      <c r="H15" s="3" t="e">
        <f>VLOOKUP(A15,#REF!,8)</f>
        <v>#REF!</v>
      </c>
      <c r="I15" s="3" t="e">
        <f>VLOOKUP(A15,#REF!,9)</f>
        <v>#REF!</v>
      </c>
      <c r="J15" s="3" t="e">
        <f>VLOOKUP(A15,#REF!,12)</f>
        <v>#REF!</v>
      </c>
      <c r="K15" s="3"/>
      <c r="L15" s="14"/>
      <c r="M15" s="14"/>
      <c r="N15" s="14"/>
      <c r="O15" s="14"/>
      <c r="P15" s="14"/>
      <c r="Q15" s="14"/>
      <c r="R15" s="14"/>
      <c r="S15" s="13"/>
      <c r="T15" s="13"/>
      <c r="U15" s="13"/>
      <c r="V15" s="13"/>
      <c r="W15" s="13"/>
      <c r="X15" s="13"/>
      <c r="Y15"/>
    </row>
    <row r="16" spans="1:25" ht="15" x14ac:dyDescent="0.25">
      <c r="A16" s="3"/>
      <c r="B16" s="2" t="e">
        <f>VLOOKUP(A16,#REF!,2)</f>
        <v>#REF!</v>
      </c>
      <c r="C16" s="3" t="e">
        <f>VLOOKUP(A16,#REF!,3)</f>
        <v>#REF!</v>
      </c>
      <c r="D16" s="3" t="e">
        <f>VLOOKUP(A16,#REF!,4)</f>
        <v>#REF!</v>
      </c>
      <c r="E16" s="3" t="e">
        <f>VLOOKUP(A16,#REF!,5)</f>
        <v>#REF!</v>
      </c>
      <c r="F16" s="3" t="e">
        <f>VLOOKUP(A16,#REF!,6)</f>
        <v>#REF!</v>
      </c>
      <c r="G16" s="3" t="e">
        <f>VLOOKUP(A16,#REF!,7)</f>
        <v>#REF!</v>
      </c>
      <c r="H16" s="3" t="e">
        <f>VLOOKUP(A16,#REF!,8)</f>
        <v>#REF!</v>
      </c>
      <c r="I16" s="3" t="e">
        <f>VLOOKUP(A16,#REF!,9)</f>
        <v>#REF!</v>
      </c>
      <c r="J16" s="3" t="e">
        <f>VLOOKUP(A16,#REF!,12)</f>
        <v>#REF!</v>
      </c>
      <c r="K16" s="3"/>
      <c r="L16" s="14"/>
      <c r="M16" s="14"/>
      <c r="N16" s="14"/>
      <c r="O16" s="14"/>
      <c r="P16" s="14"/>
      <c r="Q16" s="14"/>
      <c r="R16" s="14"/>
      <c r="S16" s="13"/>
      <c r="T16" s="13"/>
      <c r="U16" s="13"/>
      <c r="V16" s="13"/>
      <c r="W16" s="13"/>
      <c r="X16" s="13"/>
      <c r="Y16"/>
    </row>
    <row r="17" spans="1:25" ht="15" x14ac:dyDescent="0.25">
      <c r="A17" s="3"/>
      <c r="B17" s="2" t="e">
        <f>VLOOKUP(A17,#REF!,2)</f>
        <v>#REF!</v>
      </c>
      <c r="C17" s="3" t="e">
        <f>VLOOKUP(A17,#REF!,3)</f>
        <v>#REF!</v>
      </c>
      <c r="D17" s="3" t="e">
        <f>VLOOKUP(A17,#REF!,4)</f>
        <v>#REF!</v>
      </c>
      <c r="E17" s="3" t="e">
        <f>VLOOKUP(A17,#REF!,5)</f>
        <v>#REF!</v>
      </c>
      <c r="F17" s="3" t="e">
        <f>VLOOKUP(A17,#REF!,6)</f>
        <v>#REF!</v>
      </c>
      <c r="G17" s="3" t="e">
        <f>VLOOKUP(A17,#REF!,7)</f>
        <v>#REF!</v>
      </c>
      <c r="H17" s="3" t="e">
        <f>VLOOKUP(A17,#REF!,8)</f>
        <v>#REF!</v>
      </c>
      <c r="I17" s="3" t="e">
        <f>VLOOKUP(A17,#REF!,9)</f>
        <v>#REF!</v>
      </c>
      <c r="J17" s="3" t="e">
        <f>VLOOKUP(A17,#REF!,12)</f>
        <v>#REF!</v>
      </c>
      <c r="K17" s="3"/>
      <c r="L17" s="14"/>
      <c r="M17" s="14"/>
      <c r="N17" s="14"/>
      <c r="O17" s="14"/>
      <c r="P17" s="14"/>
      <c r="Q17" s="14"/>
      <c r="R17" s="14"/>
      <c r="S17" s="13"/>
      <c r="T17" s="13"/>
      <c r="U17" s="13"/>
      <c r="V17" s="13"/>
      <c r="W17" s="13"/>
      <c r="X17" s="13"/>
      <c r="Y17"/>
    </row>
    <row r="18" spans="1:25" ht="15" x14ac:dyDescent="0.25">
      <c r="A18" s="3"/>
      <c r="B18" s="2" t="e">
        <f>VLOOKUP(A18,#REF!,2)</f>
        <v>#REF!</v>
      </c>
      <c r="C18" s="3" t="e">
        <f>VLOOKUP(A18,#REF!,3)</f>
        <v>#REF!</v>
      </c>
      <c r="D18" s="3" t="e">
        <f>VLOOKUP(A18,#REF!,4)</f>
        <v>#REF!</v>
      </c>
      <c r="E18" s="3" t="e">
        <f>VLOOKUP(A18,#REF!,5)</f>
        <v>#REF!</v>
      </c>
      <c r="F18" s="3" t="e">
        <f>VLOOKUP(A18,#REF!,6)</f>
        <v>#REF!</v>
      </c>
      <c r="G18" s="3" t="e">
        <f>VLOOKUP(A18,#REF!,7)</f>
        <v>#REF!</v>
      </c>
      <c r="H18" s="3" t="e">
        <f>VLOOKUP(A18,#REF!,8)</f>
        <v>#REF!</v>
      </c>
      <c r="I18" s="3" t="e">
        <f>VLOOKUP(A18,#REF!,9)</f>
        <v>#REF!</v>
      </c>
      <c r="J18" s="3" t="e">
        <f>VLOOKUP(A18,#REF!,12)</f>
        <v>#REF!</v>
      </c>
      <c r="K18" s="3"/>
      <c r="L18" s="14"/>
      <c r="M18" s="14"/>
      <c r="N18" s="14"/>
      <c r="O18" s="14"/>
      <c r="P18" s="14"/>
      <c r="Q18" s="14"/>
      <c r="R18" s="14"/>
      <c r="S18" s="13"/>
      <c r="T18" s="13"/>
      <c r="U18" s="13"/>
      <c r="V18" s="13"/>
      <c r="W18" s="13"/>
      <c r="X18" s="13"/>
      <c r="Y18"/>
    </row>
    <row r="19" spans="1:25" x14ac:dyDescent="0.2">
      <c r="A19" s="3"/>
      <c r="B19" s="2" t="e">
        <f>VLOOKUP(A19,#REF!,2)</f>
        <v>#REF!</v>
      </c>
      <c r="C19" s="3" t="e">
        <f>VLOOKUP(A19,#REF!,3)</f>
        <v>#REF!</v>
      </c>
      <c r="D19" s="3" t="e">
        <f>VLOOKUP(A19,#REF!,4)</f>
        <v>#REF!</v>
      </c>
      <c r="E19" s="3" t="e">
        <f>VLOOKUP(A19,#REF!,5)</f>
        <v>#REF!</v>
      </c>
      <c r="F19" s="3" t="e">
        <f>VLOOKUP(A19,#REF!,6)</f>
        <v>#REF!</v>
      </c>
      <c r="G19" s="3" t="e">
        <f>VLOOKUP(A19,#REF!,7)</f>
        <v>#REF!</v>
      </c>
      <c r="H19" s="3" t="e">
        <f>VLOOKUP(A19,#REF!,8)</f>
        <v>#REF!</v>
      </c>
      <c r="I19" s="3" t="e">
        <f>VLOOKUP(A19,#REF!,9)</f>
        <v>#REF!</v>
      </c>
      <c r="J19" s="3" t="e">
        <f>VLOOKUP(A19,#REF!,12)</f>
        <v>#REF!</v>
      </c>
      <c r="K19" s="3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5" x14ac:dyDescent="0.2">
      <c r="A20" s="3"/>
      <c r="C20" s="3"/>
      <c r="D20" s="3"/>
      <c r="E20" s="3"/>
      <c r="F20" s="3"/>
      <c r="G20" s="3"/>
      <c r="H20" s="3"/>
      <c r="I20" s="3"/>
      <c r="J20" s="3"/>
      <c r="K20" s="3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5" x14ac:dyDescent="0.2">
      <c r="A21" s="3"/>
      <c r="C21" s="3"/>
      <c r="D21" s="3"/>
      <c r="E21" s="3"/>
      <c r="F21" s="3"/>
      <c r="G21" s="3"/>
      <c r="H21" s="3"/>
      <c r="I21" s="3"/>
      <c r="J21" s="3"/>
      <c r="K21" s="3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5" x14ac:dyDescent="0.2">
      <c r="A22" s="3"/>
      <c r="C22" s="3"/>
      <c r="D22" s="3"/>
      <c r="E22" s="3"/>
      <c r="F22" s="3"/>
      <c r="G22" s="3"/>
      <c r="H22" s="3"/>
      <c r="I22" s="3"/>
      <c r="J22" s="3"/>
      <c r="K22" s="3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5" x14ac:dyDescent="0.2">
      <c r="A23" s="3"/>
      <c r="C23" s="3"/>
      <c r="D23" s="3"/>
      <c r="E23" s="3"/>
      <c r="F23" s="3"/>
      <c r="G23" s="3"/>
      <c r="H23" s="3"/>
      <c r="I23" s="3"/>
      <c r="J23" s="3"/>
      <c r="K23" s="3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5" x14ac:dyDescent="0.2">
      <c r="A24" s="3"/>
      <c r="C24" s="3"/>
      <c r="D24" s="3"/>
      <c r="E24" s="3"/>
      <c r="F24" s="3"/>
      <c r="G24" s="3"/>
      <c r="H24" s="3"/>
      <c r="I24" s="3"/>
      <c r="J24" s="3"/>
      <c r="K24" s="3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5" x14ac:dyDescent="0.2">
      <c r="A25" s="3"/>
      <c r="C25" s="3"/>
      <c r="D25" s="3"/>
      <c r="E25" s="3"/>
      <c r="F25" s="3"/>
      <c r="G25" s="3"/>
      <c r="H25" s="3"/>
      <c r="I25" s="3"/>
      <c r="J25" s="3"/>
      <c r="K25" s="3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5" x14ac:dyDescent="0.2">
      <c r="A26" s="3"/>
      <c r="C26" s="3"/>
      <c r="D26" s="3"/>
      <c r="E26" s="3"/>
      <c r="F26" s="3"/>
      <c r="G26" s="3"/>
      <c r="H26" s="3"/>
      <c r="I26" s="3"/>
      <c r="J26" s="3"/>
      <c r="K26" s="3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5" x14ac:dyDescent="0.2">
      <c r="A27" s="3"/>
      <c r="C27" s="3"/>
      <c r="D27" s="3"/>
      <c r="E27" s="3"/>
      <c r="F27" s="3"/>
      <c r="G27" s="3"/>
      <c r="H27" s="3"/>
      <c r="I27" s="3"/>
      <c r="J27" s="3"/>
      <c r="K27" s="3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5" x14ac:dyDescent="0.2">
      <c r="A28" s="3"/>
      <c r="C28" s="3"/>
      <c r="D28" s="3"/>
      <c r="E28" s="3"/>
      <c r="F28" s="3"/>
      <c r="G28" s="3"/>
      <c r="H28" s="3"/>
      <c r="I28" s="3"/>
      <c r="J28" s="3"/>
      <c r="K28" s="3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5" x14ac:dyDescent="0.2">
      <c r="C29" s="3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5" x14ac:dyDescent="0.2"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5" x14ac:dyDescent="0.2"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B163-B21E-4EBF-8C9D-344FAE963643}">
  <dimension ref="A1:Y29"/>
  <sheetViews>
    <sheetView zoomScale="85" zoomScaleNormal="85" workbookViewId="0">
      <selection activeCell="A3" sqref="A3"/>
    </sheetView>
  </sheetViews>
  <sheetFormatPr baseColWidth="10" defaultColWidth="10.85546875" defaultRowHeight="12.75" x14ac:dyDescent="0.2"/>
  <cols>
    <col min="1" max="1" width="12.5703125" style="1" customWidth="1"/>
    <col min="2" max="2" width="10.85546875" style="2" customWidth="1"/>
    <col min="3" max="3" width="11" style="1" customWidth="1"/>
    <col min="4" max="4" width="8.5703125" style="1" customWidth="1"/>
    <col min="5" max="5" width="8.140625" style="1" customWidth="1"/>
    <col min="6" max="6" width="7.28515625" style="1" customWidth="1"/>
    <col min="7" max="7" width="9.42578125" style="1" customWidth="1"/>
    <col min="8" max="8" width="10.85546875" style="1"/>
    <col min="9" max="9" width="9.140625" style="1" customWidth="1"/>
    <col min="10" max="11" width="9.5703125" style="1" customWidth="1"/>
    <col min="12" max="16384" width="10.85546875" style="1"/>
  </cols>
  <sheetData>
    <row r="1" spans="1:25" ht="15" x14ac:dyDescent="0.25">
      <c r="C1" t="s">
        <v>0</v>
      </c>
      <c r="E1">
        <v>1</v>
      </c>
      <c r="F1">
        <v>2</v>
      </c>
      <c r="G1">
        <v>3</v>
      </c>
      <c r="H1">
        <v>4</v>
      </c>
    </row>
    <row r="2" spans="1:25" ht="25.5" x14ac:dyDescent="0.25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17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15" x14ac:dyDescent="0.25">
      <c r="A3" s="8" t="s">
        <v>11</v>
      </c>
      <c r="B3" s="9">
        <v>40064</v>
      </c>
      <c r="C3" s="8">
        <v>447.72</v>
      </c>
      <c r="D3" s="8">
        <v>15.83</v>
      </c>
      <c r="E3" s="8">
        <v>5.87</v>
      </c>
      <c r="F3" s="8">
        <v>2.2911999999999999</v>
      </c>
      <c r="G3" s="8">
        <v>446.31</v>
      </c>
      <c r="H3" s="8">
        <v>23.731999999999999</v>
      </c>
      <c r="I3" s="8">
        <v>1.6656</v>
      </c>
      <c r="J3" s="8">
        <v>1</v>
      </c>
      <c r="K3" s="10">
        <v>25909</v>
      </c>
      <c r="L3" s="4"/>
      <c r="M3" s="4"/>
      <c r="N3" s="4"/>
      <c r="O3" s="4"/>
      <c r="P3" s="4"/>
      <c r="Q3" s="4"/>
      <c r="R3" s="4"/>
      <c r="S3"/>
      <c r="T3"/>
      <c r="U3"/>
      <c r="V3"/>
      <c r="W3"/>
      <c r="X3"/>
      <c r="Y3"/>
    </row>
    <row r="4" spans="1:25" ht="15" x14ac:dyDescent="0.25">
      <c r="A4" s="8" t="s">
        <v>12</v>
      </c>
      <c r="B4" s="9">
        <v>41578</v>
      </c>
      <c r="C4" s="8">
        <v>962.13</v>
      </c>
      <c r="D4" s="8">
        <v>52.929000000000002</v>
      </c>
      <c r="E4" s="8">
        <v>36.648000000000003</v>
      </c>
      <c r="F4" s="8">
        <v>1</v>
      </c>
      <c r="G4" s="8">
        <v>1025.55</v>
      </c>
      <c r="H4" s="8">
        <v>19.228999999999999</v>
      </c>
      <c r="I4" s="8">
        <v>7.07</v>
      </c>
      <c r="J4" s="8">
        <v>1</v>
      </c>
      <c r="K4" s="10">
        <v>57497</v>
      </c>
      <c r="L4" s="4"/>
      <c r="M4" s="4"/>
      <c r="N4" s="4"/>
      <c r="O4" s="4"/>
      <c r="P4" s="4"/>
      <c r="Q4" s="4"/>
      <c r="R4" s="4"/>
      <c r="S4"/>
      <c r="T4"/>
      <c r="U4"/>
      <c r="V4"/>
      <c r="W4"/>
      <c r="X4"/>
      <c r="Y4"/>
    </row>
    <row r="5" spans="1:25" ht="15" x14ac:dyDescent="0.25">
      <c r="A5" s="8" t="s">
        <v>13</v>
      </c>
      <c r="B5" s="9">
        <v>40080</v>
      </c>
      <c r="C5" s="8">
        <v>273.58999999999997</v>
      </c>
      <c r="D5" s="8">
        <v>21.64</v>
      </c>
      <c r="E5" s="8">
        <v>7.47</v>
      </c>
      <c r="F5" s="8">
        <v>2.9177</v>
      </c>
      <c r="G5" s="8">
        <v>560.63</v>
      </c>
      <c r="H5" s="8">
        <v>26.667000000000002</v>
      </c>
      <c r="I5" s="8">
        <v>10.670999999999999</v>
      </c>
      <c r="J5" s="8">
        <v>1</v>
      </c>
      <c r="K5" s="10">
        <v>15351</v>
      </c>
      <c r="L5" s="4"/>
      <c r="M5" s="4"/>
      <c r="N5" s="4"/>
      <c r="O5" s="4"/>
      <c r="P5" s="4"/>
      <c r="Q5" s="4"/>
      <c r="R5" s="4"/>
      <c r="S5"/>
      <c r="T5"/>
      <c r="U5"/>
      <c r="V5"/>
      <c r="W5"/>
      <c r="X5"/>
      <c r="Y5"/>
    </row>
    <row r="6" spans="1:25" ht="15" x14ac:dyDescent="0.25">
      <c r="A6" s="8" t="s">
        <v>14</v>
      </c>
      <c r="B6" s="9">
        <v>40080</v>
      </c>
      <c r="C6" s="8">
        <v>316.94</v>
      </c>
      <c r="D6" s="8">
        <v>12.98</v>
      </c>
      <c r="E6" s="8">
        <v>4.72</v>
      </c>
      <c r="F6" s="8">
        <v>2.14</v>
      </c>
      <c r="G6" s="8">
        <v>299.10000000000002</v>
      </c>
      <c r="H6" s="8">
        <v>36.229999999999997</v>
      </c>
      <c r="I6" s="8">
        <v>1.45</v>
      </c>
      <c r="J6" s="8">
        <v>1</v>
      </c>
      <c r="K6" s="10">
        <v>17456</v>
      </c>
      <c r="L6" s="4"/>
      <c r="M6" s="4"/>
      <c r="N6" s="4"/>
      <c r="O6" s="4"/>
      <c r="P6" s="4"/>
      <c r="Q6" s="4"/>
      <c r="R6" s="4"/>
      <c r="S6"/>
      <c r="T6"/>
      <c r="U6"/>
      <c r="V6"/>
      <c r="W6"/>
      <c r="X6"/>
      <c r="Y6"/>
    </row>
    <row r="7" spans="1:25" ht="15" x14ac:dyDescent="0.25">
      <c r="A7" s="8" t="s">
        <v>15</v>
      </c>
      <c r="B7" s="9">
        <v>40042</v>
      </c>
      <c r="C7" s="8">
        <v>73.33</v>
      </c>
      <c r="D7" s="8">
        <v>4.83</v>
      </c>
      <c r="E7" s="8">
        <v>1.88</v>
      </c>
      <c r="F7" s="8">
        <v>1.12262</v>
      </c>
      <c r="G7" s="8">
        <v>53.27</v>
      </c>
      <c r="H7" s="8">
        <v>20.192</v>
      </c>
      <c r="I7" s="8">
        <v>7.8</v>
      </c>
      <c r="J7" s="8">
        <v>1</v>
      </c>
      <c r="K7" s="10">
        <v>3093</v>
      </c>
      <c r="L7" s="4"/>
      <c r="M7" s="4"/>
      <c r="N7" s="4"/>
      <c r="O7" s="4"/>
      <c r="P7" s="4"/>
      <c r="Q7" s="4"/>
      <c r="R7" s="4"/>
      <c r="S7"/>
      <c r="T7"/>
      <c r="U7"/>
      <c r="V7"/>
      <c r="W7"/>
      <c r="X7"/>
      <c r="Y7"/>
    </row>
    <row r="8" spans="1:25" ht="15" x14ac:dyDescent="0.25">
      <c r="A8" s="8" t="s">
        <v>16</v>
      </c>
      <c r="B8" s="9">
        <v>43721</v>
      </c>
      <c r="C8" s="8">
        <v>976.55</v>
      </c>
      <c r="D8" s="8">
        <v>75.790000000000006</v>
      </c>
      <c r="E8" s="8">
        <v>21.38</v>
      </c>
      <c r="F8" s="8">
        <v>3.9483999999999999</v>
      </c>
      <c r="G8" s="8">
        <v>1061.3</v>
      </c>
      <c r="H8" s="8">
        <v>15.329000000000001</v>
      </c>
      <c r="I8" s="8">
        <v>1.0409999999999999</v>
      </c>
      <c r="J8" s="8">
        <v>1</v>
      </c>
      <c r="K8" s="10">
        <v>59346</v>
      </c>
      <c r="L8" s="4"/>
      <c r="M8" s="4"/>
      <c r="N8" s="4"/>
      <c r="O8" s="4"/>
      <c r="P8" s="4"/>
      <c r="Q8" s="4"/>
      <c r="R8" s="4"/>
      <c r="S8"/>
      <c r="T8"/>
      <c r="U8"/>
      <c r="V8"/>
      <c r="W8"/>
      <c r="X8"/>
      <c r="Y8"/>
    </row>
    <row r="9" spans="1:25" ht="15" x14ac:dyDescent="0.25">
      <c r="A9" s="3"/>
      <c r="B9" s="2" t="e">
        <f>VLOOKUP(A9,#REF!,2)</f>
        <v>#REF!</v>
      </c>
      <c r="C9" s="3" t="e">
        <f>VLOOKUP(A9,#REF!,3)</f>
        <v>#REF!</v>
      </c>
      <c r="D9" s="3" t="e">
        <f>VLOOKUP(A9,#REF!,4)</f>
        <v>#REF!</v>
      </c>
      <c r="E9" s="3" t="e">
        <f>VLOOKUP(A9,#REF!,5)</f>
        <v>#REF!</v>
      </c>
      <c r="F9" s="3" t="e">
        <f>VLOOKUP(A9,#REF!,6)</f>
        <v>#REF!</v>
      </c>
      <c r="G9" s="3" t="e">
        <f>VLOOKUP(A9,#REF!,7)</f>
        <v>#REF!</v>
      </c>
      <c r="H9" s="3" t="e">
        <f>VLOOKUP(A9,#REF!,8)</f>
        <v>#REF!</v>
      </c>
      <c r="I9" s="3" t="e">
        <f>VLOOKUP(A9,#REF!,9)</f>
        <v>#REF!</v>
      </c>
      <c r="J9" s="3" t="e">
        <f>VLOOKUP(A9,#REF!,12)</f>
        <v>#REF!</v>
      </c>
      <c r="K9" s="3"/>
      <c r="L9" s="4"/>
      <c r="M9" s="4"/>
      <c r="N9" s="4"/>
      <c r="O9" s="4"/>
      <c r="P9" s="4"/>
      <c r="Q9" s="4"/>
      <c r="R9" s="4"/>
      <c r="S9"/>
      <c r="T9"/>
      <c r="U9"/>
      <c r="V9"/>
      <c r="W9"/>
      <c r="X9"/>
      <c r="Y9"/>
    </row>
    <row r="10" spans="1:25" ht="15" x14ac:dyDescent="0.25">
      <c r="A10" s="3"/>
      <c r="B10" s="2" t="e">
        <f>VLOOKUP(A10,#REF!,2)</f>
        <v>#REF!</v>
      </c>
      <c r="C10" s="3" t="e">
        <f>VLOOKUP(A10,#REF!,3)</f>
        <v>#REF!</v>
      </c>
      <c r="D10" s="3" t="e">
        <f>VLOOKUP(A10,#REF!,4)</f>
        <v>#REF!</v>
      </c>
      <c r="E10" s="3" t="e">
        <f>VLOOKUP(A10,#REF!,5)</f>
        <v>#REF!</v>
      </c>
      <c r="F10" s="3" t="e">
        <f>VLOOKUP(A10,#REF!,6)</f>
        <v>#REF!</v>
      </c>
      <c r="G10" s="3" t="e">
        <f>VLOOKUP(A10,#REF!,7)</f>
        <v>#REF!</v>
      </c>
      <c r="H10" s="3" t="e">
        <f>VLOOKUP(A10,#REF!,8)</f>
        <v>#REF!</v>
      </c>
      <c r="I10" s="3" t="e">
        <f>VLOOKUP(A10,#REF!,9)</f>
        <v>#REF!</v>
      </c>
      <c r="J10" s="3" t="e">
        <f>VLOOKUP(A10,#REF!,12)</f>
        <v>#REF!</v>
      </c>
      <c r="K10" s="3"/>
      <c r="L10" s="4"/>
      <c r="M10" s="4"/>
      <c r="N10" s="4"/>
      <c r="O10" s="4"/>
      <c r="P10" s="4"/>
      <c r="Q10" s="4"/>
      <c r="R10" s="4"/>
      <c r="S10"/>
      <c r="T10"/>
      <c r="U10"/>
      <c r="V10"/>
      <c r="W10"/>
      <c r="X10"/>
      <c r="Y10"/>
    </row>
    <row r="11" spans="1:25" ht="15" x14ac:dyDescent="0.25">
      <c r="A11" s="3"/>
      <c r="B11" s="2" t="e">
        <f>VLOOKUP(A11,#REF!,2)</f>
        <v>#REF!</v>
      </c>
      <c r="C11" s="3" t="e">
        <f>VLOOKUP(A11,#REF!,3)</f>
        <v>#REF!</v>
      </c>
      <c r="D11" s="3" t="e">
        <f>VLOOKUP(A11,#REF!,4)</f>
        <v>#REF!</v>
      </c>
      <c r="E11" s="3" t="e">
        <f>VLOOKUP(A11,#REF!,5)</f>
        <v>#REF!</v>
      </c>
      <c r="F11" s="3" t="e">
        <f>VLOOKUP(A11,#REF!,6)</f>
        <v>#REF!</v>
      </c>
      <c r="G11" s="3" t="e">
        <f>VLOOKUP(A11,#REF!,7)</f>
        <v>#REF!</v>
      </c>
      <c r="H11" s="3" t="e">
        <f>VLOOKUP(A11,#REF!,8)</f>
        <v>#REF!</v>
      </c>
      <c r="I11" s="3" t="e">
        <f>VLOOKUP(A11,#REF!,9)</f>
        <v>#REF!</v>
      </c>
      <c r="J11" s="3" t="e">
        <f>VLOOKUP(A11,#REF!,12)</f>
        <v>#REF!</v>
      </c>
      <c r="K11" s="3"/>
      <c r="L11" s="4"/>
      <c r="M11" s="4"/>
      <c r="N11" s="4"/>
      <c r="O11" s="4"/>
      <c r="P11" s="4"/>
      <c r="Q11" s="4"/>
      <c r="R11" s="4"/>
      <c r="S11"/>
      <c r="T11"/>
      <c r="U11"/>
      <c r="V11"/>
      <c r="W11"/>
      <c r="X11"/>
      <c r="Y11"/>
    </row>
    <row r="12" spans="1:25" ht="15" x14ac:dyDescent="0.25">
      <c r="A12" s="3"/>
      <c r="B12" s="2" t="e">
        <f>VLOOKUP(A12,#REF!,2)</f>
        <v>#REF!</v>
      </c>
      <c r="C12" s="3" t="e">
        <f>VLOOKUP(A12,#REF!,3)</f>
        <v>#REF!</v>
      </c>
      <c r="D12" s="3" t="e">
        <f>VLOOKUP(A12,#REF!,4)</f>
        <v>#REF!</v>
      </c>
      <c r="E12" s="3" t="e">
        <f>VLOOKUP(A12,#REF!,5)</f>
        <v>#REF!</v>
      </c>
      <c r="F12" s="3" t="e">
        <f>VLOOKUP(A12,#REF!,6)</f>
        <v>#REF!</v>
      </c>
      <c r="G12" s="3" t="e">
        <f>VLOOKUP(A12,#REF!,7)</f>
        <v>#REF!</v>
      </c>
      <c r="H12" s="3" t="e">
        <f>VLOOKUP(A12,#REF!,8)</f>
        <v>#REF!</v>
      </c>
      <c r="I12" s="3" t="e">
        <f>VLOOKUP(A12,#REF!,9)</f>
        <v>#REF!</v>
      </c>
      <c r="J12" s="3" t="e">
        <f>VLOOKUP(A12,#REF!,12)</f>
        <v>#REF!</v>
      </c>
      <c r="K12" s="3"/>
      <c r="L12" s="4"/>
      <c r="M12" s="4"/>
      <c r="N12" s="4"/>
      <c r="O12" s="4"/>
      <c r="P12" s="4"/>
      <c r="Q12" s="4"/>
      <c r="R12" s="4"/>
      <c r="S12"/>
      <c r="T12"/>
      <c r="U12"/>
      <c r="V12"/>
      <c r="W12"/>
      <c r="X12"/>
      <c r="Y12"/>
    </row>
    <row r="13" spans="1:25" ht="15" x14ac:dyDescent="0.25">
      <c r="A13" s="3"/>
      <c r="B13" s="2" t="e">
        <f>VLOOKUP(A13,#REF!,2)</f>
        <v>#REF!</v>
      </c>
      <c r="C13" s="3" t="e">
        <f>VLOOKUP(A13,#REF!,3)</f>
        <v>#REF!</v>
      </c>
      <c r="D13" s="3" t="e">
        <f>VLOOKUP(A13,#REF!,4)</f>
        <v>#REF!</v>
      </c>
      <c r="E13" s="3" t="e">
        <f>VLOOKUP(A13,#REF!,5)</f>
        <v>#REF!</v>
      </c>
      <c r="F13" s="3" t="e">
        <f>VLOOKUP(A13,#REF!,6)</f>
        <v>#REF!</v>
      </c>
      <c r="G13" s="3" t="e">
        <f>VLOOKUP(A13,#REF!,7)</f>
        <v>#REF!</v>
      </c>
      <c r="H13" s="3" t="e">
        <f>VLOOKUP(A13,#REF!,8)</f>
        <v>#REF!</v>
      </c>
      <c r="I13" s="3" t="e">
        <f>VLOOKUP(A13,#REF!,9)</f>
        <v>#REF!</v>
      </c>
      <c r="J13" s="3" t="e">
        <f>VLOOKUP(A13,#REF!,12)</f>
        <v>#REF!</v>
      </c>
      <c r="K13" s="3"/>
      <c r="L13" s="4"/>
      <c r="M13" s="4"/>
      <c r="N13" s="4"/>
      <c r="O13" s="4"/>
      <c r="P13" s="4"/>
      <c r="Q13" s="4"/>
      <c r="R13" s="4"/>
      <c r="S13"/>
      <c r="T13"/>
      <c r="U13"/>
      <c r="V13"/>
      <c r="W13"/>
      <c r="X13"/>
      <c r="Y13"/>
    </row>
    <row r="14" spans="1:25" ht="15" x14ac:dyDescent="0.25">
      <c r="A14" s="3"/>
      <c r="B14" s="2" t="e">
        <f>VLOOKUP(A14,#REF!,2)</f>
        <v>#REF!</v>
      </c>
      <c r="C14" s="3" t="e">
        <f>VLOOKUP(A14,#REF!,3)</f>
        <v>#REF!</v>
      </c>
      <c r="D14" s="3" t="e">
        <f>VLOOKUP(A14,#REF!,4)</f>
        <v>#REF!</v>
      </c>
      <c r="E14" s="3" t="e">
        <f>VLOOKUP(A14,#REF!,5)</f>
        <v>#REF!</v>
      </c>
      <c r="F14" s="3" t="e">
        <f>VLOOKUP(A14,#REF!,6)</f>
        <v>#REF!</v>
      </c>
      <c r="G14" s="3" t="e">
        <f>VLOOKUP(A14,#REF!,7)</f>
        <v>#REF!</v>
      </c>
      <c r="H14" s="3" t="e">
        <f>VLOOKUP(A14,#REF!,8)</f>
        <v>#REF!</v>
      </c>
      <c r="I14" s="3" t="e">
        <f>VLOOKUP(A14,#REF!,9)</f>
        <v>#REF!</v>
      </c>
      <c r="J14" s="3" t="e">
        <f>VLOOKUP(A14,#REF!,12)</f>
        <v>#REF!</v>
      </c>
      <c r="K14" s="3"/>
      <c r="L14" s="4"/>
      <c r="M14" s="4"/>
      <c r="N14" s="4"/>
      <c r="O14" s="4"/>
      <c r="P14" s="4"/>
      <c r="Q14" s="4"/>
      <c r="R14" s="4"/>
      <c r="S14"/>
      <c r="T14"/>
      <c r="U14"/>
      <c r="V14"/>
      <c r="W14"/>
      <c r="X14"/>
      <c r="Y14"/>
    </row>
    <row r="15" spans="1:25" ht="15" x14ac:dyDescent="0.25">
      <c r="A15" s="3"/>
      <c r="B15" s="2" t="e">
        <f>VLOOKUP(A15,#REF!,2)</f>
        <v>#REF!</v>
      </c>
      <c r="C15" s="3" t="e">
        <f>VLOOKUP(A15,#REF!,3)</f>
        <v>#REF!</v>
      </c>
      <c r="D15" s="3" t="e">
        <f>VLOOKUP(A15,#REF!,4)</f>
        <v>#REF!</v>
      </c>
      <c r="E15" s="3" t="e">
        <f>VLOOKUP(A15,#REF!,5)</f>
        <v>#REF!</v>
      </c>
      <c r="F15" s="3" t="e">
        <f>VLOOKUP(A15,#REF!,6)</f>
        <v>#REF!</v>
      </c>
      <c r="G15" s="3" t="e">
        <f>VLOOKUP(A15,#REF!,7)</f>
        <v>#REF!</v>
      </c>
      <c r="H15" s="3" t="e">
        <f>VLOOKUP(A15,#REF!,8)</f>
        <v>#REF!</v>
      </c>
      <c r="I15" s="3" t="e">
        <f>VLOOKUP(A15,#REF!,9)</f>
        <v>#REF!</v>
      </c>
      <c r="J15" s="3" t="e">
        <f>VLOOKUP(A15,#REF!,12)</f>
        <v>#REF!</v>
      </c>
      <c r="K15" s="3"/>
      <c r="L15" s="4"/>
      <c r="M15" s="4"/>
      <c r="N15" s="4"/>
      <c r="O15" s="4"/>
      <c r="P15" s="4"/>
      <c r="Q15" s="4"/>
      <c r="R15" s="4"/>
      <c r="S15"/>
      <c r="T15"/>
      <c r="U15"/>
      <c r="V15"/>
      <c r="W15"/>
      <c r="X15"/>
      <c r="Y15"/>
    </row>
    <row r="16" spans="1:25" ht="15" x14ac:dyDescent="0.25">
      <c r="A16" s="3"/>
      <c r="B16" s="2" t="e">
        <f>VLOOKUP(A16,#REF!,2)</f>
        <v>#REF!</v>
      </c>
      <c r="C16" s="3" t="e">
        <f>VLOOKUP(A16,#REF!,3)</f>
        <v>#REF!</v>
      </c>
      <c r="D16" s="3" t="e">
        <f>VLOOKUP(A16,#REF!,4)</f>
        <v>#REF!</v>
      </c>
      <c r="E16" s="3" t="e">
        <f>VLOOKUP(A16,#REF!,5)</f>
        <v>#REF!</v>
      </c>
      <c r="F16" s="3" t="e">
        <f>VLOOKUP(A16,#REF!,6)</f>
        <v>#REF!</v>
      </c>
      <c r="G16" s="3" t="e">
        <f>VLOOKUP(A16,#REF!,7)</f>
        <v>#REF!</v>
      </c>
      <c r="H16" s="3" t="e">
        <f>VLOOKUP(A16,#REF!,8)</f>
        <v>#REF!</v>
      </c>
      <c r="I16" s="3" t="e">
        <f>VLOOKUP(A16,#REF!,9)</f>
        <v>#REF!</v>
      </c>
      <c r="J16" s="3" t="e">
        <f>VLOOKUP(A16,#REF!,12)</f>
        <v>#REF!</v>
      </c>
      <c r="K16" s="3"/>
      <c r="L16" s="4"/>
      <c r="M16" s="4"/>
      <c r="N16" s="4"/>
      <c r="O16" s="4"/>
      <c r="P16" s="4"/>
      <c r="Q16" s="4"/>
      <c r="R16" s="4"/>
      <c r="S16"/>
      <c r="T16"/>
      <c r="U16"/>
      <c r="V16"/>
      <c r="W16"/>
      <c r="X16"/>
      <c r="Y16"/>
    </row>
    <row r="17" spans="1:25" ht="15" x14ac:dyDescent="0.25">
      <c r="A17" s="3"/>
      <c r="B17" s="2" t="e">
        <f>VLOOKUP(A17,#REF!,2)</f>
        <v>#REF!</v>
      </c>
      <c r="C17" s="3" t="e">
        <f>VLOOKUP(A17,#REF!,3)</f>
        <v>#REF!</v>
      </c>
      <c r="D17" s="3" t="e">
        <f>VLOOKUP(A17,#REF!,4)</f>
        <v>#REF!</v>
      </c>
      <c r="E17" s="3" t="e">
        <f>VLOOKUP(A17,#REF!,5)</f>
        <v>#REF!</v>
      </c>
      <c r="F17" s="3" t="e">
        <f>VLOOKUP(A17,#REF!,6)</f>
        <v>#REF!</v>
      </c>
      <c r="G17" s="3" t="e">
        <f>VLOOKUP(A17,#REF!,7)</f>
        <v>#REF!</v>
      </c>
      <c r="H17" s="3" t="e">
        <f>VLOOKUP(A17,#REF!,8)</f>
        <v>#REF!</v>
      </c>
      <c r="I17" s="3" t="e">
        <f>VLOOKUP(A17,#REF!,9)</f>
        <v>#REF!</v>
      </c>
      <c r="J17" s="3" t="e">
        <f>VLOOKUP(A17,#REF!,12)</f>
        <v>#REF!</v>
      </c>
      <c r="K17" s="3"/>
      <c r="L17" s="4"/>
      <c r="M17" s="4"/>
      <c r="N17" s="4"/>
      <c r="O17" s="4"/>
      <c r="P17" s="4"/>
      <c r="Q17" s="4"/>
      <c r="R17" s="4"/>
      <c r="S17"/>
      <c r="T17"/>
      <c r="U17"/>
      <c r="V17"/>
      <c r="W17"/>
      <c r="X17"/>
      <c r="Y17"/>
    </row>
    <row r="18" spans="1:25" ht="15" x14ac:dyDescent="0.25">
      <c r="A18" s="3"/>
      <c r="B18" s="2" t="e">
        <f>VLOOKUP(A18,#REF!,2)</f>
        <v>#REF!</v>
      </c>
      <c r="C18" s="3" t="e">
        <f>VLOOKUP(A18,#REF!,3)</f>
        <v>#REF!</v>
      </c>
      <c r="D18" s="3" t="e">
        <f>VLOOKUP(A18,#REF!,4)</f>
        <v>#REF!</v>
      </c>
      <c r="E18" s="3" t="e">
        <f>VLOOKUP(A18,#REF!,5)</f>
        <v>#REF!</v>
      </c>
      <c r="F18" s="3" t="e">
        <f>VLOOKUP(A18,#REF!,6)</f>
        <v>#REF!</v>
      </c>
      <c r="G18" s="3" t="e">
        <f>VLOOKUP(A18,#REF!,7)</f>
        <v>#REF!</v>
      </c>
      <c r="H18" s="3" t="e">
        <f>VLOOKUP(A18,#REF!,8)</f>
        <v>#REF!</v>
      </c>
      <c r="I18" s="3" t="e">
        <f>VLOOKUP(A18,#REF!,9)</f>
        <v>#REF!</v>
      </c>
      <c r="J18" s="3" t="e">
        <f>VLOOKUP(A18,#REF!,12)</f>
        <v>#REF!</v>
      </c>
      <c r="K18" s="3"/>
      <c r="L18" s="4"/>
      <c r="M18" s="4"/>
      <c r="N18" s="4"/>
      <c r="O18" s="4"/>
      <c r="P18" s="4"/>
      <c r="Q18" s="4"/>
      <c r="R18" s="4"/>
      <c r="S18"/>
      <c r="T18"/>
      <c r="U18"/>
      <c r="V18"/>
      <c r="W18"/>
      <c r="X18"/>
      <c r="Y18"/>
    </row>
    <row r="19" spans="1:25" x14ac:dyDescent="0.2">
      <c r="A19" s="3"/>
      <c r="B19" s="2" t="e">
        <f>VLOOKUP(A19,#REF!,2)</f>
        <v>#REF!</v>
      </c>
      <c r="C19" s="3" t="e">
        <f>VLOOKUP(A19,#REF!,3)</f>
        <v>#REF!</v>
      </c>
      <c r="D19" s="3" t="e">
        <f>VLOOKUP(A19,#REF!,4)</f>
        <v>#REF!</v>
      </c>
      <c r="E19" s="3" t="e">
        <f>VLOOKUP(A19,#REF!,5)</f>
        <v>#REF!</v>
      </c>
      <c r="F19" s="3" t="e">
        <f>VLOOKUP(A19,#REF!,6)</f>
        <v>#REF!</v>
      </c>
      <c r="G19" s="3" t="e">
        <f>VLOOKUP(A19,#REF!,7)</f>
        <v>#REF!</v>
      </c>
      <c r="H19" s="3" t="e">
        <f>VLOOKUP(A19,#REF!,8)</f>
        <v>#REF!</v>
      </c>
      <c r="I19" s="3" t="e">
        <f>VLOOKUP(A19,#REF!,9)</f>
        <v>#REF!</v>
      </c>
      <c r="J19" s="3" t="e">
        <f>VLOOKUP(A19,#REF!,12)</f>
        <v>#REF!</v>
      </c>
      <c r="K19" s="3"/>
    </row>
    <row r="20" spans="1:25" x14ac:dyDescent="0.2">
      <c r="A20" s="3"/>
      <c r="C20" s="3"/>
      <c r="D20" s="3"/>
      <c r="E20" s="3"/>
      <c r="F20" s="3"/>
      <c r="G20" s="3"/>
      <c r="H20" s="3"/>
      <c r="I20" s="3"/>
      <c r="J20" s="3"/>
      <c r="K20" s="3"/>
    </row>
    <row r="21" spans="1:25" x14ac:dyDescent="0.2">
      <c r="A21" s="3"/>
      <c r="C21" s="3"/>
      <c r="D21" s="3"/>
      <c r="E21" s="3"/>
      <c r="F21" s="3"/>
      <c r="G21" s="3"/>
      <c r="H21" s="3"/>
      <c r="I21" s="3"/>
      <c r="J21" s="3"/>
      <c r="K21" s="3"/>
    </row>
    <row r="22" spans="1:25" x14ac:dyDescent="0.2">
      <c r="A22" s="3"/>
      <c r="C22" s="3"/>
      <c r="D22" s="3"/>
      <c r="E22" s="3"/>
      <c r="F22" s="3"/>
      <c r="G22" s="3"/>
      <c r="H22" s="3"/>
      <c r="I22" s="3"/>
      <c r="J22" s="3"/>
      <c r="K22" s="3"/>
    </row>
    <row r="23" spans="1:25" x14ac:dyDescent="0.2">
      <c r="A23" s="3"/>
      <c r="C23" s="3"/>
      <c r="D23" s="3"/>
      <c r="E23" s="3"/>
      <c r="F23" s="3"/>
      <c r="G23" s="3"/>
      <c r="H23" s="3"/>
      <c r="I23" s="3"/>
      <c r="J23" s="3"/>
      <c r="K23" s="3"/>
    </row>
    <row r="24" spans="1:25" x14ac:dyDescent="0.2">
      <c r="A24" s="3"/>
      <c r="C24" s="3"/>
      <c r="D24" s="3"/>
      <c r="E24" s="3"/>
      <c r="F24" s="3"/>
      <c r="G24" s="3"/>
      <c r="H24" s="3"/>
      <c r="I24" s="3"/>
      <c r="J24" s="3"/>
      <c r="K24" s="3"/>
    </row>
    <row r="25" spans="1:25" x14ac:dyDescent="0.2">
      <c r="A25" s="3"/>
      <c r="C25" s="3"/>
      <c r="D25" s="3"/>
      <c r="E25" s="3"/>
      <c r="F25" s="3"/>
      <c r="G25" s="3"/>
      <c r="H25" s="3"/>
      <c r="I25" s="3"/>
      <c r="J25" s="3"/>
      <c r="K25" s="3"/>
    </row>
    <row r="26" spans="1:25" x14ac:dyDescent="0.2">
      <c r="A26" s="3"/>
      <c r="C26" s="3"/>
      <c r="D26" s="3"/>
      <c r="E26" s="3"/>
      <c r="F26" s="3"/>
      <c r="G26" s="3"/>
      <c r="H26" s="3"/>
      <c r="I26" s="3"/>
      <c r="J26" s="3"/>
      <c r="K26" s="3"/>
    </row>
    <row r="27" spans="1:25" x14ac:dyDescent="0.2">
      <c r="A27" s="3"/>
      <c r="C27" s="3"/>
      <c r="D27" s="3"/>
      <c r="E27" s="3"/>
      <c r="F27" s="3"/>
      <c r="G27" s="3"/>
      <c r="H27" s="3"/>
      <c r="I27" s="3"/>
      <c r="J27" s="3"/>
      <c r="K27" s="3"/>
    </row>
    <row r="28" spans="1:25" x14ac:dyDescent="0.2">
      <c r="A28" s="3"/>
      <c r="C28" s="3"/>
      <c r="D28" s="3"/>
      <c r="E28" s="3"/>
      <c r="F28" s="3"/>
      <c r="G28" s="3"/>
      <c r="H28" s="3"/>
      <c r="I28" s="3"/>
      <c r="J28" s="3"/>
      <c r="K28" s="3"/>
    </row>
    <row r="29" spans="1:25" x14ac:dyDescent="0.2">
      <c r="C2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AD81-87CD-4E5E-8B2F-48F688D69B25}">
  <dimension ref="A1:Y52"/>
  <sheetViews>
    <sheetView topLeftCell="A36" zoomScale="115" zoomScaleNormal="115" workbookViewId="0">
      <selection activeCell="L64" sqref="L64"/>
    </sheetView>
  </sheetViews>
  <sheetFormatPr baseColWidth="10" defaultColWidth="10.85546875" defaultRowHeight="12.75" x14ac:dyDescent="0.2"/>
  <cols>
    <col min="1" max="1" width="12.5703125" style="1" customWidth="1"/>
    <col min="2" max="2" width="10.85546875" style="2" customWidth="1"/>
    <col min="3" max="3" width="11" style="1" customWidth="1"/>
    <col min="4" max="4" width="8.5703125" style="1" customWidth="1"/>
    <col min="5" max="5" width="8.140625" style="1" customWidth="1"/>
    <col min="6" max="6" width="7.28515625" style="1" customWidth="1"/>
    <col min="7" max="7" width="9.42578125" style="1" customWidth="1"/>
    <col min="8" max="8" width="10.85546875" style="1"/>
    <col min="9" max="9" width="9.140625" style="1" customWidth="1"/>
    <col min="10" max="11" width="9.5703125" style="1" customWidth="1"/>
    <col min="12" max="16384" width="10.85546875" style="1"/>
  </cols>
  <sheetData>
    <row r="1" spans="1:25" ht="15" x14ac:dyDescent="0.25">
      <c r="C1">
        <v>1</v>
      </c>
      <c r="D1">
        <v>2</v>
      </c>
      <c r="E1">
        <v>3</v>
      </c>
      <c r="F1">
        <v>4</v>
      </c>
      <c r="G1">
        <v>1</v>
      </c>
      <c r="H1">
        <v>2</v>
      </c>
      <c r="I1">
        <v>3</v>
      </c>
      <c r="J1">
        <v>4</v>
      </c>
    </row>
    <row r="2" spans="1:25" ht="25.5" x14ac:dyDescent="0.25">
      <c r="A2" s="5" t="s">
        <v>1</v>
      </c>
      <c r="B2" s="6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17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15" x14ac:dyDescent="0.25">
      <c r="A3" s="8" t="s">
        <v>11</v>
      </c>
      <c r="B3" s="9">
        <v>40064</v>
      </c>
      <c r="C3" s="12">
        <v>447.72</v>
      </c>
      <c r="D3" s="12">
        <v>15.83</v>
      </c>
      <c r="E3" s="12">
        <v>5.87</v>
      </c>
      <c r="F3" s="12">
        <v>2.2911999999999999</v>
      </c>
      <c r="G3" s="8">
        <v>446.31</v>
      </c>
      <c r="H3" s="8">
        <v>23.731999999999999</v>
      </c>
      <c r="I3" s="8">
        <v>1.6656</v>
      </c>
      <c r="J3" s="8">
        <v>1</v>
      </c>
      <c r="K3" s="10">
        <v>25909</v>
      </c>
      <c r="L3" s="4"/>
      <c r="M3" s="4"/>
      <c r="N3" s="4"/>
      <c r="O3" s="4"/>
      <c r="P3" s="4"/>
      <c r="Q3" s="4"/>
      <c r="R3" s="4"/>
      <c r="S3"/>
      <c r="T3"/>
      <c r="U3"/>
      <c r="V3"/>
      <c r="W3"/>
      <c r="X3"/>
      <c r="Y3"/>
    </row>
    <row r="4" spans="1:25" ht="15" x14ac:dyDescent="0.25">
      <c r="A4" s="8" t="s">
        <v>12</v>
      </c>
      <c r="B4" s="9">
        <v>41578</v>
      </c>
      <c r="C4" s="12">
        <v>962.13</v>
      </c>
      <c r="D4" s="12">
        <v>52.929000000000002</v>
      </c>
      <c r="E4" s="12">
        <v>36.648000000000003</v>
      </c>
      <c r="F4" s="12">
        <v>1</v>
      </c>
      <c r="G4" s="8">
        <v>1025.55</v>
      </c>
      <c r="H4" s="8">
        <v>19.228999999999999</v>
      </c>
      <c r="I4" s="8">
        <v>7.07</v>
      </c>
      <c r="J4" s="8">
        <v>1</v>
      </c>
      <c r="K4" s="10">
        <v>57497</v>
      </c>
      <c r="L4" s="4"/>
      <c r="M4" s="4"/>
      <c r="N4" s="4"/>
      <c r="O4" s="4"/>
      <c r="P4" s="4"/>
      <c r="Q4" s="4"/>
      <c r="R4" s="4"/>
      <c r="S4"/>
      <c r="T4"/>
      <c r="U4"/>
      <c r="V4"/>
      <c r="W4"/>
      <c r="X4"/>
      <c r="Y4"/>
    </row>
    <row r="5" spans="1:25" ht="15" x14ac:dyDescent="0.25">
      <c r="A5" s="8" t="s">
        <v>13</v>
      </c>
      <c r="B5" s="9">
        <v>40080</v>
      </c>
      <c r="C5" s="12">
        <v>273.58999999999997</v>
      </c>
      <c r="D5" s="12">
        <v>21.64</v>
      </c>
      <c r="E5" s="12">
        <v>7.47</v>
      </c>
      <c r="F5" s="12">
        <v>2.9177</v>
      </c>
      <c r="G5" s="8">
        <v>560.63</v>
      </c>
      <c r="H5" s="8">
        <v>26.667000000000002</v>
      </c>
      <c r="I5" s="8">
        <v>10.670999999999999</v>
      </c>
      <c r="J5" s="8">
        <v>1</v>
      </c>
      <c r="K5" s="10">
        <v>15351</v>
      </c>
      <c r="L5" s="4"/>
      <c r="M5" s="4"/>
      <c r="N5" s="4"/>
      <c r="O5" s="4"/>
      <c r="P5" s="4"/>
      <c r="Q5" s="4"/>
      <c r="R5" s="4"/>
      <c r="S5"/>
      <c r="T5"/>
      <c r="U5"/>
      <c r="V5"/>
      <c r="W5"/>
      <c r="X5"/>
      <c r="Y5"/>
    </row>
    <row r="6" spans="1:25" ht="15" x14ac:dyDescent="0.25">
      <c r="A6" s="8" t="s">
        <v>14</v>
      </c>
      <c r="B6" s="9">
        <v>40080</v>
      </c>
      <c r="C6" s="12">
        <v>316.94</v>
      </c>
      <c r="D6" s="12">
        <v>12.98</v>
      </c>
      <c r="E6" s="12">
        <v>4.72</v>
      </c>
      <c r="F6" s="12">
        <v>2.14</v>
      </c>
      <c r="G6" s="8">
        <v>299.10000000000002</v>
      </c>
      <c r="H6" s="8">
        <v>36.229999999999997</v>
      </c>
      <c r="I6" s="8">
        <v>1.45</v>
      </c>
      <c r="J6" s="8">
        <v>1</v>
      </c>
      <c r="K6" s="10">
        <v>17456</v>
      </c>
      <c r="L6" s="4"/>
      <c r="M6" s="4"/>
      <c r="N6" s="4"/>
      <c r="O6" s="4"/>
      <c r="P6" s="4"/>
      <c r="Q6" s="4"/>
      <c r="R6" s="4"/>
      <c r="S6"/>
      <c r="T6"/>
      <c r="U6"/>
      <c r="V6"/>
      <c r="W6"/>
      <c r="X6"/>
      <c r="Y6"/>
    </row>
    <row r="7" spans="1:25" ht="15" x14ac:dyDescent="0.25">
      <c r="A7" s="8" t="s">
        <v>15</v>
      </c>
      <c r="B7" s="9">
        <v>40042</v>
      </c>
      <c r="C7" s="12">
        <v>73.33</v>
      </c>
      <c r="D7" s="12">
        <v>4.83</v>
      </c>
      <c r="E7" s="12">
        <v>1.88</v>
      </c>
      <c r="F7" s="12">
        <v>1.12262</v>
      </c>
      <c r="G7" s="8">
        <v>53.27</v>
      </c>
      <c r="H7" s="8">
        <v>20.192</v>
      </c>
      <c r="I7" s="8">
        <v>7.8</v>
      </c>
      <c r="J7" s="8">
        <v>1</v>
      </c>
      <c r="K7" s="10">
        <v>3093</v>
      </c>
      <c r="L7" s="4"/>
      <c r="M7" s="4"/>
      <c r="N7" s="4"/>
      <c r="O7" s="4"/>
      <c r="P7" s="4"/>
      <c r="Q7" s="4"/>
      <c r="R7" s="4"/>
      <c r="S7"/>
      <c r="T7"/>
      <c r="U7"/>
      <c r="V7"/>
      <c r="W7"/>
      <c r="X7"/>
      <c r="Y7"/>
    </row>
    <row r="8" spans="1:25" ht="15" x14ac:dyDescent="0.25">
      <c r="A8" s="8" t="s">
        <v>16</v>
      </c>
      <c r="B8" s="9">
        <v>43721</v>
      </c>
      <c r="C8" s="12">
        <v>976.55</v>
      </c>
      <c r="D8" s="12">
        <v>75.790000000000006</v>
      </c>
      <c r="E8" s="12">
        <v>21.38</v>
      </c>
      <c r="F8" s="12">
        <v>3.9483999999999999</v>
      </c>
      <c r="G8" s="8">
        <v>1061.3</v>
      </c>
      <c r="H8" s="8">
        <v>15.329000000000001</v>
      </c>
      <c r="I8" s="8">
        <v>1.0409999999999999</v>
      </c>
      <c r="J8" s="8">
        <v>1</v>
      </c>
      <c r="K8" s="10">
        <v>59346</v>
      </c>
      <c r="L8" s="4"/>
      <c r="M8" s="4"/>
      <c r="N8" s="4"/>
      <c r="O8" s="4"/>
      <c r="P8" s="4"/>
      <c r="Q8" s="4"/>
      <c r="R8" s="4"/>
      <c r="S8"/>
      <c r="T8"/>
      <c r="U8"/>
      <c r="V8"/>
      <c r="W8"/>
      <c r="X8"/>
      <c r="Y8"/>
    </row>
    <row r="9" spans="1:25" ht="15" x14ac:dyDescent="0.25">
      <c r="A9" s="3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4"/>
      <c r="O9" s="4"/>
      <c r="P9" s="4"/>
      <c r="Q9" s="4"/>
      <c r="R9" s="4"/>
      <c r="S9"/>
      <c r="T9"/>
      <c r="U9"/>
      <c r="V9"/>
      <c r="W9"/>
      <c r="X9"/>
      <c r="Y9"/>
    </row>
    <row r="10" spans="1:25" ht="15" x14ac:dyDescent="0.25">
      <c r="A10" s="3"/>
      <c r="C10" s="3"/>
      <c r="D10" s="3"/>
      <c r="E10" s="3"/>
      <c r="F10" s="3"/>
      <c r="G10" s="3"/>
      <c r="H10" s="3"/>
      <c r="I10" s="3"/>
      <c r="J10" s="3"/>
      <c r="K10" s="3"/>
      <c r="L10" s="4"/>
      <c r="M10" s="4"/>
      <c r="N10" s="4"/>
      <c r="O10" s="4"/>
      <c r="P10" s="4"/>
      <c r="Q10" s="4"/>
      <c r="R10" s="4"/>
      <c r="S10"/>
      <c r="T10"/>
      <c r="U10"/>
      <c r="V10"/>
      <c r="W10"/>
      <c r="X10"/>
      <c r="Y10"/>
    </row>
    <row r="11" spans="1:25" ht="15" x14ac:dyDescent="0.25">
      <c r="A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4"/>
      <c r="N11" s="4"/>
      <c r="O11" s="4"/>
      <c r="P11" s="4"/>
      <c r="Q11" s="4"/>
      <c r="R11" s="4"/>
      <c r="S11"/>
      <c r="T11"/>
      <c r="U11"/>
      <c r="V11"/>
      <c r="W11"/>
      <c r="X11"/>
      <c r="Y11"/>
    </row>
    <row r="12" spans="1:25" ht="15" x14ac:dyDescent="0.25">
      <c r="A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"/>
      <c r="N12" s="4"/>
      <c r="O12" s="4"/>
      <c r="P12" s="4"/>
      <c r="Q12" s="4"/>
      <c r="R12" s="4"/>
      <c r="S12"/>
      <c r="T12"/>
      <c r="U12"/>
      <c r="V12"/>
      <c r="W12"/>
      <c r="X12"/>
      <c r="Y12"/>
    </row>
    <row r="13" spans="1:25" ht="15" x14ac:dyDescent="0.25">
      <c r="A13" s="8"/>
      <c r="C13" s="3"/>
      <c r="D13" s="3"/>
      <c r="E13" s="3"/>
      <c r="F13" s="3"/>
      <c r="G13" s="3"/>
      <c r="H13" s="3"/>
      <c r="I13" s="3"/>
      <c r="J13" s="3"/>
      <c r="K13" s="3"/>
      <c r="L13" s="4"/>
      <c r="M13" s="4"/>
      <c r="N13" s="4"/>
      <c r="O13" s="4"/>
      <c r="P13" s="4"/>
      <c r="Q13" s="4"/>
      <c r="R13" s="4"/>
      <c r="S13"/>
      <c r="T13"/>
      <c r="U13"/>
      <c r="V13"/>
      <c r="W13"/>
      <c r="X13"/>
      <c r="Y13"/>
    </row>
    <row r="14" spans="1:25" ht="15" x14ac:dyDescent="0.25">
      <c r="A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4"/>
      <c r="N14" s="4"/>
      <c r="O14" s="4"/>
      <c r="P14" s="4"/>
      <c r="Q14" s="4"/>
      <c r="R14" s="4"/>
      <c r="S14"/>
      <c r="T14"/>
      <c r="U14"/>
      <c r="V14"/>
      <c r="W14"/>
      <c r="X14"/>
      <c r="Y14"/>
    </row>
    <row r="15" spans="1:25" ht="15" x14ac:dyDescent="0.25">
      <c r="A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4"/>
      <c r="N15" s="4"/>
      <c r="O15" s="4"/>
      <c r="P15" s="4"/>
      <c r="Q15" s="4"/>
      <c r="R15" s="4"/>
      <c r="S15"/>
      <c r="T15"/>
      <c r="U15"/>
      <c r="V15"/>
      <c r="W15"/>
      <c r="X15"/>
      <c r="Y15"/>
    </row>
    <row r="16" spans="1:25" ht="15" x14ac:dyDescent="0.25">
      <c r="A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4"/>
      <c r="N16" s="4"/>
      <c r="O16" s="4"/>
      <c r="P16" s="4"/>
      <c r="Q16" s="4"/>
      <c r="R16" s="4"/>
      <c r="S16"/>
      <c r="T16"/>
      <c r="U16"/>
      <c r="V16"/>
      <c r="W16"/>
      <c r="X16"/>
      <c r="Y16"/>
    </row>
    <row r="17" spans="1:25" ht="15" x14ac:dyDescent="0.25">
      <c r="A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4"/>
      <c r="N17" s="4"/>
      <c r="O17" s="4"/>
      <c r="P17" s="4"/>
      <c r="Q17" s="4"/>
      <c r="R17" s="4"/>
      <c r="S17"/>
      <c r="T17"/>
      <c r="U17"/>
      <c r="V17"/>
      <c r="W17"/>
      <c r="X17"/>
      <c r="Y17"/>
    </row>
    <row r="18" spans="1:25" ht="15" x14ac:dyDescent="0.25">
      <c r="A18" s="3"/>
      <c r="C18" s="3"/>
      <c r="D18" s="3"/>
      <c r="E18" s="3"/>
      <c r="F18" s="3"/>
      <c r="G18" s="3"/>
      <c r="H18" s="3"/>
      <c r="I18" s="3"/>
      <c r="J18" s="3"/>
      <c r="K18" s="3"/>
      <c r="L18" s="4"/>
      <c r="M18" s="4"/>
      <c r="N18" s="4"/>
      <c r="O18" s="4"/>
      <c r="P18" s="4"/>
      <c r="Q18" s="4"/>
      <c r="R18" s="4"/>
      <c r="S18"/>
      <c r="T18"/>
      <c r="U18"/>
      <c r="V18"/>
      <c r="W18"/>
      <c r="X18"/>
      <c r="Y18"/>
    </row>
    <row r="19" spans="1:25" x14ac:dyDescent="0.2">
      <c r="A19" s="3"/>
      <c r="C19" s="3"/>
      <c r="D19" s="3"/>
      <c r="E19" s="3"/>
      <c r="F19" s="3"/>
      <c r="G19" s="3"/>
      <c r="H19" s="3"/>
      <c r="I19" s="3"/>
      <c r="J19" s="3"/>
      <c r="K19" s="3"/>
    </row>
    <row r="20" spans="1:25" x14ac:dyDescent="0.2">
      <c r="A20" s="3"/>
      <c r="C20" s="3"/>
      <c r="D20" s="3"/>
      <c r="E20" s="3"/>
      <c r="F20" s="3"/>
      <c r="G20" s="3"/>
      <c r="H20" s="3"/>
      <c r="I20" s="3"/>
      <c r="J20" s="3"/>
      <c r="K20" s="3"/>
    </row>
    <row r="21" spans="1:25" x14ac:dyDescent="0.2">
      <c r="A21" s="3"/>
      <c r="C21" s="3"/>
      <c r="D21" s="3"/>
      <c r="E21" s="3"/>
      <c r="F21" s="3"/>
      <c r="G21" s="3"/>
      <c r="H21" s="3"/>
      <c r="I21" s="3"/>
      <c r="J21" s="3"/>
      <c r="K21" s="3"/>
    </row>
    <row r="22" spans="1:25" x14ac:dyDescent="0.2">
      <c r="A22" s="3"/>
      <c r="C22" s="3"/>
      <c r="D22" s="3"/>
      <c r="E22" s="3"/>
      <c r="F22" s="3"/>
      <c r="G22" s="3"/>
      <c r="H22" s="3"/>
      <c r="I22" s="3"/>
      <c r="J22" s="3"/>
      <c r="K22" s="3"/>
    </row>
    <row r="23" spans="1:25" x14ac:dyDescent="0.2">
      <c r="A23" s="3"/>
      <c r="C23" s="3"/>
      <c r="D23" s="3"/>
      <c r="E23" s="3"/>
      <c r="F23" s="3"/>
      <c r="G23" s="3"/>
      <c r="H23" s="3"/>
      <c r="I23" s="3"/>
      <c r="J23" s="3"/>
      <c r="K23" s="3"/>
    </row>
    <row r="24" spans="1:25" x14ac:dyDescent="0.2">
      <c r="A24" s="3"/>
      <c r="C24" s="3"/>
      <c r="D24" s="3"/>
      <c r="E24" s="3"/>
      <c r="F24" s="3"/>
      <c r="G24" s="3"/>
      <c r="H24" s="3"/>
      <c r="I24" s="3"/>
      <c r="J24" s="3"/>
      <c r="K24" s="3"/>
    </row>
    <row r="25" spans="1:25" x14ac:dyDescent="0.2">
      <c r="A25" s="3"/>
      <c r="C25" s="3"/>
      <c r="D25" s="3"/>
      <c r="E25" s="3"/>
      <c r="F25" s="3"/>
      <c r="G25" s="3"/>
      <c r="H25" s="3"/>
      <c r="I25" s="3"/>
      <c r="J25" s="3"/>
      <c r="K25" s="3"/>
    </row>
    <row r="26" spans="1:25" x14ac:dyDescent="0.2">
      <c r="A26" s="3"/>
      <c r="C26" s="3"/>
      <c r="D26" s="3"/>
      <c r="E26" s="3"/>
      <c r="F26" s="3"/>
      <c r="G26" s="3"/>
      <c r="H26" s="3"/>
      <c r="I26" s="3"/>
      <c r="J26" s="3"/>
      <c r="K26" s="3"/>
    </row>
    <row r="27" spans="1:25" x14ac:dyDescent="0.2">
      <c r="A27" s="3"/>
      <c r="C27" s="3"/>
      <c r="D27" s="3"/>
      <c r="E27" s="3"/>
      <c r="F27" s="3"/>
      <c r="G27" s="3"/>
      <c r="H27" s="3"/>
      <c r="I27" s="3"/>
      <c r="J27" s="3"/>
      <c r="K27" s="3"/>
    </row>
    <row r="28" spans="1:25" x14ac:dyDescent="0.2">
      <c r="A28" s="3"/>
      <c r="C28" s="3"/>
      <c r="D28" s="3"/>
      <c r="E28" s="3"/>
      <c r="F28" s="3"/>
      <c r="G28" s="3"/>
      <c r="H28" s="3"/>
      <c r="I28" s="3"/>
      <c r="J28" s="3"/>
      <c r="K28" s="3"/>
    </row>
    <row r="29" spans="1:25" x14ac:dyDescent="0.2">
      <c r="C29" s="3"/>
    </row>
    <row r="43" spans="1:4" x14ac:dyDescent="0.2">
      <c r="A43" s="1" t="s">
        <v>18</v>
      </c>
      <c r="B43" s="2" t="s">
        <v>19</v>
      </c>
      <c r="C43" s="1" t="s">
        <v>20</v>
      </c>
      <c r="D43" s="1" t="s">
        <v>21</v>
      </c>
    </row>
    <row r="44" spans="1:4" x14ac:dyDescent="0.2">
      <c r="A44" s="1" t="s">
        <v>22</v>
      </c>
      <c r="B44" s="3">
        <v>4</v>
      </c>
      <c r="C44" s="12">
        <v>447.72</v>
      </c>
      <c r="D44" s="11" t="s">
        <v>3</v>
      </c>
    </row>
    <row r="45" spans="1:4" x14ac:dyDescent="0.2">
      <c r="A45" s="1" t="s">
        <v>22</v>
      </c>
      <c r="B45" s="3">
        <v>3</v>
      </c>
      <c r="C45" s="12">
        <v>15.83</v>
      </c>
      <c r="D45" s="11" t="s">
        <v>4</v>
      </c>
    </row>
    <row r="46" spans="1:4" x14ac:dyDescent="0.2">
      <c r="A46" s="1" t="s">
        <v>22</v>
      </c>
      <c r="B46" s="3">
        <v>2</v>
      </c>
      <c r="C46" s="12">
        <v>5.87</v>
      </c>
      <c r="D46" s="11" t="s">
        <v>5</v>
      </c>
    </row>
    <row r="47" spans="1:4" x14ac:dyDescent="0.2">
      <c r="A47" s="1" t="s">
        <v>22</v>
      </c>
      <c r="B47" s="3">
        <v>1</v>
      </c>
      <c r="C47" s="12">
        <v>2.2911999999999999</v>
      </c>
      <c r="D47" s="11" t="s">
        <v>6</v>
      </c>
    </row>
    <row r="48" spans="1:4" x14ac:dyDescent="0.2">
      <c r="A48" s="1" t="s">
        <v>22</v>
      </c>
      <c r="B48" s="3">
        <v>1</v>
      </c>
      <c r="C48" s="8">
        <v>1</v>
      </c>
      <c r="D48" s="7" t="s">
        <v>10</v>
      </c>
    </row>
    <row r="49" spans="1:4" x14ac:dyDescent="0.2">
      <c r="A49" s="1" t="s">
        <v>22</v>
      </c>
      <c r="B49" s="3">
        <v>2</v>
      </c>
      <c r="C49" s="8">
        <v>1.6656</v>
      </c>
      <c r="D49" s="7" t="s">
        <v>9</v>
      </c>
    </row>
    <row r="50" spans="1:4" x14ac:dyDescent="0.2">
      <c r="A50" s="1" t="s">
        <v>22</v>
      </c>
      <c r="B50" s="3">
        <v>3</v>
      </c>
      <c r="C50" s="8">
        <v>23.731999999999999</v>
      </c>
      <c r="D50" s="7" t="s">
        <v>8</v>
      </c>
    </row>
    <row r="51" spans="1:4" x14ac:dyDescent="0.2">
      <c r="A51" s="1" t="s">
        <v>22</v>
      </c>
      <c r="B51" s="3">
        <v>4</v>
      </c>
      <c r="C51" s="8">
        <v>446.31</v>
      </c>
      <c r="D51" s="7" t="s">
        <v>7</v>
      </c>
    </row>
    <row r="52" spans="1:4" x14ac:dyDescent="0.2">
      <c r="B52" s="3"/>
      <c r="C52" s="8"/>
      <c r="D52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C8EC-023A-434D-9DE6-6B5F45489BD6}">
  <dimension ref="D2:H9"/>
  <sheetViews>
    <sheetView workbookViewId="0">
      <selection activeCell="D9" sqref="D5:D9"/>
    </sheetView>
  </sheetViews>
  <sheetFormatPr baseColWidth="10" defaultColWidth="9.140625" defaultRowHeight="15" x14ac:dyDescent="0.25"/>
  <cols>
    <col min="4" max="5" width="60.28515625" bestFit="1" customWidth="1"/>
    <col min="6" max="6" width="58.85546875" bestFit="1" customWidth="1"/>
    <col min="7" max="7" width="59.28515625" bestFit="1" customWidth="1"/>
    <col min="8" max="8" width="53.85546875" bestFit="1" customWidth="1"/>
  </cols>
  <sheetData>
    <row r="2" spans="4:8" x14ac:dyDescent="0.25"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5" spans="4:8" x14ac:dyDescent="0.25">
      <c r="D5" t="s">
        <v>23</v>
      </c>
    </row>
    <row r="6" spans="4:8" x14ac:dyDescent="0.25">
      <c r="D6" t="s">
        <v>24</v>
      </c>
    </row>
    <row r="7" spans="4:8" x14ac:dyDescent="0.25">
      <c r="D7" t="s">
        <v>25</v>
      </c>
    </row>
    <row r="8" spans="4:8" x14ac:dyDescent="0.25">
      <c r="D8" t="s">
        <v>26</v>
      </c>
    </row>
    <row r="9" spans="4:8" x14ac:dyDescent="0.25">
      <c r="D9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868C-9C7C-4672-BA89-C68845CC94E7}">
  <dimension ref="A1:X30"/>
  <sheetViews>
    <sheetView zoomScale="85" zoomScaleNormal="85" workbookViewId="0">
      <selection activeCell="K2" sqref="K2:V29"/>
    </sheetView>
  </sheetViews>
  <sheetFormatPr baseColWidth="10" defaultColWidth="10.85546875" defaultRowHeight="12.75" x14ac:dyDescent="0.2"/>
  <cols>
    <col min="1" max="1" width="12.5703125" style="1" customWidth="1"/>
    <col min="2" max="2" width="11" style="1" customWidth="1"/>
    <col min="3" max="3" width="8.5703125" style="1" customWidth="1"/>
    <col min="4" max="4" width="8.140625" style="1" customWidth="1"/>
    <col min="5" max="5" width="7.28515625" style="1" customWidth="1"/>
    <col min="6" max="6" width="9.42578125" style="1" customWidth="1"/>
    <col min="7" max="7" width="10.85546875" style="1"/>
    <col min="8" max="8" width="9.140625" style="1" customWidth="1"/>
    <col min="9" max="10" width="9.5703125" style="1" customWidth="1"/>
    <col min="11" max="15" width="10.85546875" style="1"/>
    <col min="16" max="16" width="10.85546875" style="1" customWidth="1"/>
    <col min="17" max="16384" width="10.85546875" style="1"/>
  </cols>
  <sheetData>
    <row r="1" spans="1:24" ht="15" x14ac:dyDescent="0.25">
      <c r="B1" t="s">
        <v>0</v>
      </c>
      <c r="D1">
        <v>1</v>
      </c>
      <c r="E1">
        <v>2</v>
      </c>
      <c r="F1">
        <v>3</v>
      </c>
      <c r="G1">
        <v>4</v>
      </c>
    </row>
    <row r="2" spans="1:24" ht="25.5" x14ac:dyDescent="0.25">
      <c r="A2" s="5" t="s">
        <v>1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17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/>
      <c r="X2"/>
    </row>
    <row r="3" spans="1:24" ht="15" x14ac:dyDescent="0.25">
      <c r="A3" s="8" t="s">
        <v>28</v>
      </c>
      <c r="B3" s="8">
        <v>447.72</v>
      </c>
      <c r="C3" s="8">
        <v>15.83</v>
      </c>
      <c r="D3" s="8">
        <v>5.87</v>
      </c>
      <c r="E3" s="8">
        <v>2.2911999999999999</v>
      </c>
      <c r="F3" s="8">
        <v>446.31</v>
      </c>
      <c r="G3" s="8">
        <v>23.731999999999999</v>
      </c>
      <c r="H3" s="8">
        <v>1.6656</v>
      </c>
      <c r="I3" s="8">
        <v>1</v>
      </c>
      <c r="J3" s="10">
        <v>25909</v>
      </c>
      <c r="K3" s="14"/>
      <c r="L3" s="14"/>
      <c r="M3" s="14"/>
      <c r="N3" s="14"/>
      <c r="O3" s="14"/>
      <c r="P3" s="14"/>
      <c r="Q3" s="14"/>
      <c r="R3" s="13"/>
      <c r="S3" s="13"/>
      <c r="T3" s="13"/>
      <c r="U3" s="13"/>
      <c r="V3" s="13"/>
      <c r="W3"/>
      <c r="X3"/>
    </row>
    <row r="4" spans="1:24" ht="15" x14ac:dyDescent="0.25">
      <c r="A4" s="8"/>
      <c r="B4" s="8"/>
      <c r="C4" s="8"/>
      <c r="D4" s="8"/>
      <c r="E4" s="8"/>
      <c r="F4" s="8"/>
      <c r="G4" s="8"/>
      <c r="H4" s="8"/>
      <c r="I4" s="8"/>
      <c r="J4" s="10"/>
      <c r="K4" s="14"/>
      <c r="L4" s="14"/>
      <c r="M4" s="14"/>
      <c r="N4" s="14"/>
      <c r="O4" s="14"/>
      <c r="P4" s="14"/>
      <c r="Q4" s="14"/>
      <c r="R4" s="13"/>
      <c r="S4" s="13"/>
      <c r="T4" s="13"/>
      <c r="U4" s="13"/>
      <c r="V4" s="13"/>
      <c r="W4"/>
      <c r="X4"/>
    </row>
    <row r="5" spans="1:24" ht="15" x14ac:dyDescent="0.25">
      <c r="A5" s="8"/>
      <c r="B5" s="8"/>
      <c r="C5" s="8"/>
      <c r="D5" s="8"/>
      <c r="E5" s="8"/>
      <c r="F5" s="8"/>
      <c r="G5" s="8"/>
      <c r="H5" s="8"/>
      <c r="I5" s="8"/>
      <c r="J5" s="10"/>
      <c r="K5" s="14"/>
      <c r="L5" s="14"/>
      <c r="M5" s="14"/>
      <c r="N5" s="14"/>
      <c r="O5" s="14"/>
      <c r="P5" s="14"/>
      <c r="Q5" s="14"/>
      <c r="R5" s="13"/>
      <c r="S5" s="13"/>
      <c r="T5" s="13"/>
      <c r="U5" s="13"/>
      <c r="V5" s="13"/>
      <c r="W5"/>
      <c r="X5"/>
    </row>
    <row r="6" spans="1:24" ht="15" x14ac:dyDescent="0.25">
      <c r="A6" s="8"/>
      <c r="B6" s="8"/>
      <c r="C6" s="8"/>
      <c r="D6" s="8"/>
      <c r="E6" s="8"/>
      <c r="F6" s="8"/>
      <c r="G6" s="8"/>
      <c r="H6" s="8"/>
      <c r="I6" s="8"/>
      <c r="J6" s="10"/>
      <c r="K6" s="14"/>
      <c r="L6" s="14"/>
      <c r="M6" s="14"/>
      <c r="N6" s="14"/>
      <c r="O6" s="14"/>
      <c r="P6" s="14"/>
      <c r="Q6" s="14"/>
      <c r="R6" s="13"/>
      <c r="S6" s="13"/>
      <c r="T6" s="13"/>
      <c r="U6" s="13"/>
      <c r="V6" s="13"/>
      <c r="W6"/>
      <c r="X6"/>
    </row>
    <row r="7" spans="1:24" ht="15" x14ac:dyDescent="0.25">
      <c r="A7" s="8"/>
      <c r="B7" s="8"/>
      <c r="C7" s="8"/>
      <c r="D7" s="8"/>
      <c r="E7" s="8"/>
      <c r="F7" s="8"/>
      <c r="G7" s="8"/>
      <c r="H7" s="8"/>
      <c r="I7" s="8"/>
      <c r="J7" s="10"/>
      <c r="K7" s="14"/>
      <c r="L7" s="14"/>
      <c r="M7" s="14"/>
      <c r="N7" s="14"/>
      <c r="O7" s="14"/>
      <c r="P7" s="14"/>
      <c r="Q7" s="14"/>
      <c r="R7" s="13"/>
      <c r="S7" s="13"/>
      <c r="T7" s="13"/>
      <c r="U7" s="13"/>
      <c r="V7" s="13"/>
      <c r="W7"/>
      <c r="X7"/>
    </row>
    <row r="8" spans="1:24" ht="15" x14ac:dyDescent="0.25">
      <c r="A8" s="8"/>
      <c r="B8" s="8"/>
      <c r="C8" s="8"/>
      <c r="D8" s="8"/>
      <c r="E8" s="8"/>
      <c r="F8" s="8"/>
      <c r="G8" s="8"/>
      <c r="H8" s="8"/>
      <c r="I8" s="8"/>
      <c r="J8" s="10"/>
      <c r="K8" s="14"/>
      <c r="L8" s="14"/>
      <c r="M8" s="14"/>
      <c r="N8" s="14"/>
      <c r="O8" s="14"/>
      <c r="P8" s="14"/>
      <c r="Q8" s="14"/>
      <c r="R8" s="13"/>
      <c r="S8" s="13"/>
      <c r="T8" s="13"/>
      <c r="U8" s="13"/>
      <c r="V8" s="13"/>
      <c r="W8"/>
      <c r="X8"/>
    </row>
    <row r="9" spans="1:24" ht="15" x14ac:dyDescent="0.25">
      <c r="A9" s="3"/>
      <c r="B9" s="3" t="e">
        <f>VLOOKUP(A9,#REF!,3)</f>
        <v>#REF!</v>
      </c>
      <c r="C9" s="3" t="e">
        <f>VLOOKUP(A9,#REF!,4)</f>
        <v>#REF!</v>
      </c>
      <c r="D9" s="3" t="e">
        <f>VLOOKUP(A9,#REF!,5)</f>
        <v>#REF!</v>
      </c>
      <c r="E9" s="3" t="e">
        <f>VLOOKUP(A9,#REF!,6)</f>
        <v>#REF!</v>
      </c>
      <c r="F9" s="3" t="e">
        <f>VLOOKUP(A9,#REF!,7)</f>
        <v>#REF!</v>
      </c>
      <c r="G9" s="3" t="e">
        <f>VLOOKUP(A9,#REF!,8)</f>
        <v>#REF!</v>
      </c>
      <c r="H9" s="3" t="e">
        <f>VLOOKUP(A9,#REF!,9)</f>
        <v>#REF!</v>
      </c>
      <c r="I9" s="3" t="e">
        <f>VLOOKUP(A9,#REF!,12)</f>
        <v>#REF!</v>
      </c>
      <c r="J9" s="3"/>
      <c r="K9" s="14"/>
      <c r="L9" s="14"/>
      <c r="M9" s="14"/>
      <c r="N9" s="14"/>
      <c r="O9" s="14"/>
      <c r="P9" s="14"/>
      <c r="Q9" s="14"/>
      <c r="R9" s="13"/>
      <c r="S9" s="13"/>
      <c r="T9" s="13"/>
      <c r="U9" s="13"/>
      <c r="V9" s="13"/>
      <c r="W9"/>
      <c r="X9"/>
    </row>
    <row r="10" spans="1:24" ht="15" x14ac:dyDescent="0.25">
      <c r="A10" s="3"/>
      <c r="B10" s="3" t="e">
        <f>VLOOKUP(A10,#REF!,3)</f>
        <v>#REF!</v>
      </c>
      <c r="C10" s="3" t="e">
        <f>VLOOKUP(A10,#REF!,4)</f>
        <v>#REF!</v>
      </c>
      <c r="D10" s="3" t="e">
        <f>VLOOKUP(A10,#REF!,5)</f>
        <v>#REF!</v>
      </c>
      <c r="E10" s="3" t="e">
        <f>VLOOKUP(A10,#REF!,6)</f>
        <v>#REF!</v>
      </c>
      <c r="F10" s="3" t="e">
        <f>VLOOKUP(A10,#REF!,7)</f>
        <v>#REF!</v>
      </c>
      <c r="G10" s="3" t="e">
        <f>VLOOKUP(A10,#REF!,8)</f>
        <v>#REF!</v>
      </c>
      <c r="H10" s="3" t="e">
        <f>VLOOKUP(A10,#REF!,9)</f>
        <v>#REF!</v>
      </c>
      <c r="I10" s="3" t="e">
        <f>VLOOKUP(A10,#REF!,12)</f>
        <v>#REF!</v>
      </c>
      <c r="J10" s="3"/>
      <c r="K10" s="14"/>
      <c r="L10" s="14"/>
      <c r="M10" s="14"/>
      <c r="N10" s="14"/>
      <c r="O10" s="14"/>
      <c r="P10" s="14"/>
      <c r="Q10" s="14"/>
      <c r="R10" s="13"/>
      <c r="S10" s="13"/>
      <c r="T10" s="13"/>
      <c r="U10" s="13"/>
      <c r="V10" s="13"/>
      <c r="W10"/>
      <c r="X10"/>
    </row>
    <row r="11" spans="1:24" ht="15" x14ac:dyDescent="0.25">
      <c r="A11" s="3"/>
      <c r="B11" s="3" t="e">
        <f>VLOOKUP(A11,#REF!,3)</f>
        <v>#REF!</v>
      </c>
      <c r="C11" s="3" t="e">
        <f>VLOOKUP(A11,#REF!,4)</f>
        <v>#REF!</v>
      </c>
      <c r="D11" s="3" t="e">
        <f>VLOOKUP(A11,#REF!,5)</f>
        <v>#REF!</v>
      </c>
      <c r="E11" s="3" t="e">
        <f>VLOOKUP(A11,#REF!,6)</f>
        <v>#REF!</v>
      </c>
      <c r="F11" s="3" t="e">
        <f>VLOOKUP(A11,#REF!,7)</f>
        <v>#REF!</v>
      </c>
      <c r="G11" s="3" t="e">
        <f>VLOOKUP(A11,#REF!,8)</f>
        <v>#REF!</v>
      </c>
      <c r="H11" s="3" t="e">
        <f>VLOOKUP(A11,#REF!,9)</f>
        <v>#REF!</v>
      </c>
      <c r="I11" s="3" t="e">
        <f>VLOOKUP(A11,#REF!,12)</f>
        <v>#REF!</v>
      </c>
      <c r="J11" s="3"/>
      <c r="K11" s="14"/>
      <c r="L11" s="14"/>
      <c r="M11" s="14"/>
      <c r="N11" s="14"/>
      <c r="O11" s="14"/>
      <c r="P11" s="14"/>
      <c r="Q11" s="14"/>
      <c r="R11" s="13"/>
      <c r="S11" s="13"/>
      <c r="T11" s="13"/>
      <c r="U11" s="13"/>
      <c r="V11" s="13"/>
      <c r="W11"/>
      <c r="X11"/>
    </row>
    <row r="12" spans="1:24" ht="15" x14ac:dyDescent="0.25">
      <c r="A12" s="3"/>
      <c r="B12" s="3" t="e">
        <f>VLOOKUP(A12,#REF!,3)</f>
        <v>#REF!</v>
      </c>
      <c r="C12" s="3" t="e">
        <f>VLOOKUP(A12,#REF!,4)</f>
        <v>#REF!</v>
      </c>
      <c r="D12" s="3" t="e">
        <f>VLOOKUP(A12,#REF!,5)</f>
        <v>#REF!</v>
      </c>
      <c r="E12" s="3" t="e">
        <f>VLOOKUP(A12,#REF!,6)</f>
        <v>#REF!</v>
      </c>
      <c r="F12" s="3" t="e">
        <f>VLOOKUP(A12,#REF!,7)</f>
        <v>#REF!</v>
      </c>
      <c r="G12" s="3" t="e">
        <f>VLOOKUP(A12,#REF!,8)</f>
        <v>#REF!</v>
      </c>
      <c r="H12" s="3" t="e">
        <f>VLOOKUP(A12,#REF!,9)</f>
        <v>#REF!</v>
      </c>
      <c r="I12" s="3" t="e">
        <f>VLOOKUP(A12,#REF!,12)</f>
        <v>#REF!</v>
      </c>
      <c r="J12" s="3"/>
      <c r="K12" s="14"/>
      <c r="L12" s="14"/>
      <c r="M12" s="14"/>
      <c r="N12" s="14"/>
      <c r="O12" s="14"/>
      <c r="P12" s="14"/>
      <c r="Q12" s="14"/>
      <c r="R12" s="13"/>
      <c r="S12" s="13"/>
      <c r="T12" s="13"/>
      <c r="U12" s="13"/>
      <c r="V12" s="13"/>
      <c r="W12"/>
      <c r="X12"/>
    </row>
    <row r="13" spans="1:24" ht="15" x14ac:dyDescent="0.25">
      <c r="A13" s="3"/>
      <c r="B13" s="3" t="e">
        <f>VLOOKUP(A13,#REF!,3)</f>
        <v>#REF!</v>
      </c>
      <c r="C13" s="3" t="e">
        <f>VLOOKUP(A13,#REF!,4)</f>
        <v>#REF!</v>
      </c>
      <c r="D13" s="3" t="e">
        <f>VLOOKUP(A13,#REF!,5)</f>
        <v>#REF!</v>
      </c>
      <c r="E13" s="3" t="e">
        <f>VLOOKUP(A13,#REF!,6)</f>
        <v>#REF!</v>
      </c>
      <c r="F13" s="3" t="e">
        <f>VLOOKUP(A13,#REF!,7)</f>
        <v>#REF!</v>
      </c>
      <c r="G13" s="3" t="e">
        <f>VLOOKUP(A13,#REF!,8)</f>
        <v>#REF!</v>
      </c>
      <c r="H13" s="3" t="e">
        <f>VLOOKUP(A13,#REF!,9)</f>
        <v>#REF!</v>
      </c>
      <c r="I13" s="3" t="e">
        <f>VLOOKUP(A13,#REF!,12)</f>
        <v>#REF!</v>
      </c>
      <c r="J13" s="3"/>
      <c r="K13" s="14"/>
      <c r="L13" s="14"/>
      <c r="M13" s="14"/>
      <c r="N13" s="14"/>
      <c r="O13" s="14"/>
      <c r="P13" s="14"/>
      <c r="Q13" s="14"/>
      <c r="R13" s="13"/>
      <c r="S13" s="13"/>
      <c r="T13" s="13"/>
      <c r="U13" s="13"/>
      <c r="V13" s="13"/>
      <c r="W13"/>
      <c r="X13"/>
    </row>
    <row r="14" spans="1:24" ht="15" x14ac:dyDescent="0.25">
      <c r="A14" s="3"/>
      <c r="B14" s="3" t="e">
        <f>VLOOKUP(A14,#REF!,3)</f>
        <v>#REF!</v>
      </c>
      <c r="C14" s="3" t="e">
        <f>VLOOKUP(A14,#REF!,4)</f>
        <v>#REF!</v>
      </c>
      <c r="D14" s="3" t="e">
        <f>VLOOKUP(A14,#REF!,5)</f>
        <v>#REF!</v>
      </c>
      <c r="E14" s="3" t="e">
        <f>VLOOKUP(A14,#REF!,6)</f>
        <v>#REF!</v>
      </c>
      <c r="F14" s="3" t="e">
        <f>VLOOKUP(A14,#REF!,7)</f>
        <v>#REF!</v>
      </c>
      <c r="G14" s="3" t="e">
        <f>VLOOKUP(A14,#REF!,8)</f>
        <v>#REF!</v>
      </c>
      <c r="H14" s="3" t="e">
        <f>VLOOKUP(A14,#REF!,9)</f>
        <v>#REF!</v>
      </c>
      <c r="I14" s="3" t="e">
        <f>VLOOKUP(A14,#REF!,12)</f>
        <v>#REF!</v>
      </c>
      <c r="J14" s="3"/>
      <c r="K14" s="14"/>
      <c r="L14" s="14"/>
      <c r="M14" s="14"/>
      <c r="N14" s="14"/>
      <c r="O14" s="14"/>
      <c r="P14" s="14"/>
      <c r="Q14" s="14"/>
      <c r="R14" s="13"/>
      <c r="S14" s="13"/>
      <c r="T14" s="13"/>
      <c r="U14" s="13"/>
      <c r="V14" s="13"/>
      <c r="W14"/>
      <c r="X14"/>
    </row>
    <row r="15" spans="1:24" ht="15" x14ac:dyDescent="0.25">
      <c r="A15" s="3"/>
      <c r="B15" s="3" t="e">
        <f>VLOOKUP(A15,#REF!,3)</f>
        <v>#REF!</v>
      </c>
      <c r="C15" s="3" t="e">
        <f>VLOOKUP(A15,#REF!,4)</f>
        <v>#REF!</v>
      </c>
      <c r="D15" s="3" t="e">
        <f>VLOOKUP(A15,#REF!,5)</f>
        <v>#REF!</v>
      </c>
      <c r="E15" s="3" t="e">
        <f>VLOOKUP(A15,#REF!,6)</f>
        <v>#REF!</v>
      </c>
      <c r="F15" s="3" t="e">
        <f>VLOOKUP(A15,#REF!,7)</f>
        <v>#REF!</v>
      </c>
      <c r="G15" s="3" t="e">
        <f>VLOOKUP(A15,#REF!,8)</f>
        <v>#REF!</v>
      </c>
      <c r="H15" s="3" t="e">
        <f>VLOOKUP(A15,#REF!,9)</f>
        <v>#REF!</v>
      </c>
      <c r="I15" s="3" t="e">
        <f>VLOOKUP(A15,#REF!,12)</f>
        <v>#REF!</v>
      </c>
      <c r="J15" s="3"/>
      <c r="K15" s="14"/>
      <c r="L15" s="14"/>
      <c r="M15" s="14"/>
      <c r="N15" s="14"/>
      <c r="O15" s="14"/>
      <c r="P15" s="14"/>
      <c r="Q15" s="14"/>
      <c r="R15" s="13"/>
      <c r="S15" s="13"/>
      <c r="T15" s="13"/>
      <c r="U15" s="13"/>
      <c r="V15" s="13"/>
      <c r="W15"/>
      <c r="X15"/>
    </row>
    <row r="16" spans="1:24" ht="15" x14ac:dyDescent="0.25">
      <c r="A16" s="3"/>
      <c r="B16" s="3" t="e">
        <f>VLOOKUP(A16,#REF!,3)</f>
        <v>#REF!</v>
      </c>
      <c r="C16" s="3" t="e">
        <f>VLOOKUP(A16,#REF!,4)</f>
        <v>#REF!</v>
      </c>
      <c r="D16" s="3" t="e">
        <f>VLOOKUP(A16,#REF!,5)</f>
        <v>#REF!</v>
      </c>
      <c r="E16" s="3" t="e">
        <f>VLOOKUP(A16,#REF!,6)</f>
        <v>#REF!</v>
      </c>
      <c r="F16" s="3" t="e">
        <f>VLOOKUP(A16,#REF!,7)</f>
        <v>#REF!</v>
      </c>
      <c r="G16" s="3" t="e">
        <f>VLOOKUP(A16,#REF!,8)</f>
        <v>#REF!</v>
      </c>
      <c r="H16" s="3" t="e">
        <f>VLOOKUP(A16,#REF!,9)</f>
        <v>#REF!</v>
      </c>
      <c r="I16" s="3" t="e">
        <f>VLOOKUP(A16,#REF!,12)</f>
        <v>#REF!</v>
      </c>
      <c r="J16" s="3"/>
      <c r="K16" s="14"/>
      <c r="L16" s="14"/>
      <c r="M16" s="14"/>
      <c r="N16" s="14"/>
      <c r="O16" s="14"/>
      <c r="P16" s="14"/>
      <c r="Q16" s="14"/>
      <c r="R16" s="13"/>
      <c r="S16" s="13"/>
      <c r="T16" s="13"/>
      <c r="U16" s="13"/>
      <c r="V16" s="13"/>
      <c r="W16"/>
      <c r="X16"/>
    </row>
    <row r="17" spans="1:24" ht="15" x14ac:dyDescent="0.25">
      <c r="A17" s="3"/>
      <c r="B17" s="3" t="e">
        <f>VLOOKUP(A17,#REF!,3)</f>
        <v>#REF!</v>
      </c>
      <c r="C17" s="3" t="e">
        <f>VLOOKUP(A17,#REF!,4)</f>
        <v>#REF!</v>
      </c>
      <c r="D17" s="3" t="e">
        <f>VLOOKUP(A17,#REF!,5)</f>
        <v>#REF!</v>
      </c>
      <c r="E17" s="3" t="e">
        <f>VLOOKUP(A17,#REF!,6)</f>
        <v>#REF!</v>
      </c>
      <c r="F17" s="3" t="e">
        <f>VLOOKUP(A17,#REF!,7)</f>
        <v>#REF!</v>
      </c>
      <c r="G17" s="3" t="e">
        <f>VLOOKUP(A17,#REF!,8)</f>
        <v>#REF!</v>
      </c>
      <c r="H17" s="3" t="e">
        <f>VLOOKUP(A17,#REF!,9)</f>
        <v>#REF!</v>
      </c>
      <c r="I17" s="3" t="e">
        <f>VLOOKUP(A17,#REF!,12)</f>
        <v>#REF!</v>
      </c>
      <c r="J17" s="3"/>
      <c r="K17" s="14"/>
      <c r="L17" s="14"/>
      <c r="M17" s="14"/>
      <c r="N17" s="14"/>
      <c r="O17" s="14"/>
      <c r="P17" s="14"/>
      <c r="Q17" s="14"/>
      <c r="R17" s="13"/>
      <c r="S17" s="13"/>
      <c r="T17" s="13"/>
      <c r="U17" s="13"/>
      <c r="V17" s="13"/>
      <c r="W17"/>
      <c r="X17"/>
    </row>
    <row r="18" spans="1:24" ht="15" x14ac:dyDescent="0.25">
      <c r="A18" s="3"/>
      <c r="B18" s="3" t="e">
        <f>VLOOKUP(A18,#REF!,3)</f>
        <v>#REF!</v>
      </c>
      <c r="C18" s="3" t="e">
        <f>VLOOKUP(A18,#REF!,4)</f>
        <v>#REF!</v>
      </c>
      <c r="D18" s="3" t="e">
        <f>VLOOKUP(A18,#REF!,5)</f>
        <v>#REF!</v>
      </c>
      <c r="E18" s="3" t="e">
        <f>VLOOKUP(A18,#REF!,6)</f>
        <v>#REF!</v>
      </c>
      <c r="F18" s="3" t="e">
        <f>VLOOKUP(A18,#REF!,7)</f>
        <v>#REF!</v>
      </c>
      <c r="G18" s="3" t="e">
        <f>VLOOKUP(A18,#REF!,8)</f>
        <v>#REF!</v>
      </c>
      <c r="H18" s="3" t="e">
        <f>VLOOKUP(A18,#REF!,9)</f>
        <v>#REF!</v>
      </c>
      <c r="I18" s="3" t="e">
        <f>VLOOKUP(A18,#REF!,12)</f>
        <v>#REF!</v>
      </c>
      <c r="J18" s="3"/>
      <c r="K18" s="14"/>
      <c r="L18" s="14"/>
      <c r="M18" s="14"/>
      <c r="N18" s="14"/>
      <c r="O18" s="14"/>
      <c r="P18" s="14"/>
      <c r="Q18" s="14"/>
      <c r="R18" s="13"/>
      <c r="S18" s="13"/>
      <c r="T18" s="13"/>
      <c r="U18" s="13"/>
      <c r="V18" s="13"/>
      <c r="W18"/>
      <c r="X18"/>
    </row>
    <row r="19" spans="1:24" x14ac:dyDescent="0.2">
      <c r="A19" s="3"/>
      <c r="B19" s="3" t="e">
        <f>VLOOKUP(A19,#REF!,3)</f>
        <v>#REF!</v>
      </c>
      <c r="C19" s="3" t="e">
        <f>VLOOKUP(A19,#REF!,4)</f>
        <v>#REF!</v>
      </c>
      <c r="D19" s="3" t="e">
        <f>VLOOKUP(A19,#REF!,5)</f>
        <v>#REF!</v>
      </c>
      <c r="E19" s="3" t="e">
        <f>VLOOKUP(A19,#REF!,6)</f>
        <v>#REF!</v>
      </c>
      <c r="F19" s="3" t="e">
        <f>VLOOKUP(A19,#REF!,7)</f>
        <v>#REF!</v>
      </c>
      <c r="G19" s="3" t="e">
        <f>VLOOKUP(A19,#REF!,8)</f>
        <v>#REF!</v>
      </c>
      <c r="H19" s="3" t="e">
        <f>VLOOKUP(A19,#REF!,9)</f>
        <v>#REF!</v>
      </c>
      <c r="I19" s="3" t="e">
        <f>VLOOKUP(A19,#REF!,12)</f>
        <v>#REF!</v>
      </c>
      <c r="J19" s="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4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4" x14ac:dyDescent="0.2">
      <c r="B29" s="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4" x14ac:dyDescent="0.2"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3DE2-812D-469A-B7F5-AD9E64731AB0}">
  <dimension ref="A1:Y29"/>
  <sheetViews>
    <sheetView zoomScale="85" zoomScaleNormal="85" workbookViewId="0">
      <selection activeCell="A5" sqref="A5"/>
    </sheetView>
  </sheetViews>
  <sheetFormatPr baseColWidth="10" defaultColWidth="10.85546875" defaultRowHeight="12.75" x14ac:dyDescent="0.2"/>
  <cols>
    <col min="1" max="1" width="12.5703125" style="1" customWidth="1"/>
    <col min="2" max="2" width="10.85546875" style="2" customWidth="1"/>
    <col min="3" max="3" width="11" style="1" customWidth="1"/>
    <col min="4" max="4" width="8.5703125" style="1" customWidth="1"/>
    <col min="5" max="5" width="8.140625" style="1" customWidth="1"/>
    <col min="6" max="6" width="7.28515625" style="1" customWidth="1"/>
    <col min="7" max="7" width="9.42578125" style="1" customWidth="1"/>
    <col min="8" max="8" width="10.85546875" style="1"/>
    <col min="9" max="9" width="9.140625" style="1" customWidth="1"/>
    <col min="10" max="11" width="9.5703125" style="1" customWidth="1"/>
    <col min="12" max="16384" width="10.85546875" style="1"/>
  </cols>
  <sheetData>
    <row r="1" spans="1:25" ht="15" x14ac:dyDescent="0.25">
      <c r="C1" t="s">
        <v>0</v>
      </c>
      <c r="E1">
        <v>1</v>
      </c>
      <c r="F1">
        <v>2</v>
      </c>
      <c r="G1">
        <v>3</v>
      </c>
      <c r="H1">
        <v>4</v>
      </c>
    </row>
    <row r="2" spans="1:25" ht="25.5" x14ac:dyDescent="0.25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17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15" x14ac:dyDescent="0.25">
      <c r="A3" s="8" t="s">
        <v>11</v>
      </c>
      <c r="B3" s="9">
        <v>40064</v>
      </c>
      <c r="C3" s="8">
        <v>447.72</v>
      </c>
      <c r="D3" s="8">
        <v>15.83</v>
      </c>
      <c r="E3" s="8">
        <v>5.87</v>
      </c>
      <c r="F3" s="8">
        <v>2.2911999999999999</v>
      </c>
      <c r="G3" s="8">
        <v>446.31</v>
      </c>
      <c r="H3" s="8">
        <v>23.731999999999999</v>
      </c>
      <c r="I3" s="8">
        <v>1.6656</v>
      </c>
      <c r="J3" s="8">
        <v>1</v>
      </c>
      <c r="K3" s="10">
        <v>25909</v>
      </c>
      <c r="L3" s="4"/>
      <c r="M3" s="4"/>
      <c r="N3" s="4"/>
      <c r="O3" s="4"/>
      <c r="P3" s="4"/>
      <c r="Q3" s="4"/>
      <c r="R3" s="4"/>
      <c r="S3"/>
      <c r="T3"/>
      <c r="U3"/>
      <c r="V3"/>
      <c r="W3"/>
      <c r="X3"/>
      <c r="Y3"/>
    </row>
    <row r="4" spans="1:25" ht="15" x14ac:dyDescent="0.25">
      <c r="A4" s="8" t="s">
        <v>12</v>
      </c>
      <c r="B4" s="9">
        <v>41578</v>
      </c>
      <c r="C4" s="8">
        <v>962.13</v>
      </c>
      <c r="D4" s="8">
        <v>52.929000000000002</v>
      </c>
      <c r="E4" s="8">
        <v>36.648000000000003</v>
      </c>
      <c r="F4" s="8">
        <v>1</v>
      </c>
      <c r="G4" s="8">
        <v>1025.55</v>
      </c>
      <c r="H4" s="8">
        <v>19.228999999999999</v>
      </c>
      <c r="I4" s="8">
        <v>7.07</v>
      </c>
      <c r="J4" s="8">
        <v>1</v>
      </c>
      <c r="K4" s="10">
        <v>57497</v>
      </c>
      <c r="L4" s="4"/>
      <c r="M4" s="4"/>
      <c r="N4" s="4"/>
      <c r="O4" s="4"/>
      <c r="P4" s="4"/>
      <c r="Q4" s="4"/>
      <c r="R4" s="4"/>
      <c r="S4"/>
      <c r="T4"/>
      <c r="U4"/>
      <c r="V4"/>
      <c r="W4"/>
      <c r="X4"/>
      <c r="Y4"/>
    </row>
    <row r="5" spans="1:25" ht="15" x14ac:dyDescent="0.25">
      <c r="A5" s="8" t="s">
        <v>13</v>
      </c>
      <c r="B5" s="9">
        <v>40080</v>
      </c>
      <c r="C5" s="8">
        <v>273.58999999999997</v>
      </c>
      <c r="D5" s="8">
        <v>21.64</v>
      </c>
      <c r="E5" s="8">
        <v>7.47</v>
      </c>
      <c r="F5" s="8">
        <v>2.9177</v>
      </c>
      <c r="G5" s="8">
        <v>560.63</v>
      </c>
      <c r="H5" s="8">
        <v>26.667000000000002</v>
      </c>
      <c r="I5" s="8">
        <v>10.670999999999999</v>
      </c>
      <c r="J5" s="8">
        <v>1</v>
      </c>
      <c r="K5" s="10">
        <v>15351</v>
      </c>
      <c r="L5" s="4"/>
      <c r="M5" s="4"/>
      <c r="N5" s="4"/>
      <c r="O5" s="4"/>
      <c r="P5" s="4"/>
      <c r="Q5" s="4"/>
      <c r="R5" s="4"/>
      <c r="S5"/>
      <c r="T5"/>
      <c r="U5"/>
      <c r="V5"/>
      <c r="W5"/>
      <c r="X5"/>
      <c r="Y5"/>
    </row>
    <row r="6" spans="1:25" ht="15" x14ac:dyDescent="0.25">
      <c r="A6" s="8" t="s">
        <v>14</v>
      </c>
      <c r="B6" s="9">
        <v>40080</v>
      </c>
      <c r="C6" s="8">
        <v>316.94</v>
      </c>
      <c r="D6" s="8">
        <v>12.98</v>
      </c>
      <c r="E6" s="8">
        <v>4.72</v>
      </c>
      <c r="F6" s="8">
        <v>2.14</v>
      </c>
      <c r="G6" s="8">
        <v>299.10000000000002</v>
      </c>
      <c r="H6" s="8">
        <v>36.229999999999997</v>
      </c>
      <c r="I6" s="8">
        <v>1.45</v>
      </c>
      <c r="J6" s="8">
        <v>1</v>
      </c>
      <c r="K6" s="10">
        <v>17456</v>
      </c>
      <c r="L6" s="4"/>
      <c r="M6" s="4"/>
      <c r="N6" s="4"/>
      <c r="O6" s="4"/>
      <c r="P6" s="4"/>
      <c r="Q6" s="4"/>
      <c r="R6" s="4"/>
      <c r="S6"/>
      <c r="T6"/>
      <c r="U6"/>
      <c r="V6"/>
      <c r="W6"/>
      <c r="X6"/>
      <c r="Y6"/>
    </row>
    <row r="7" spans="1:25" ht="15" x14ac:dyDescent="0.25">
      <c r="A7" s="8" t="s">
        <v>15</v>
      </c>
      <c r="B7" s="9">
        <v>40042</v>
      </c>
      <c r="C7" s="8">
        <v>73.33</v>
      </c>
      <c r="D7" s="8">
        <v>4.83</v>
      </c>
      <c r="E7" s="8">
        <v>1.88</v>
      </c>
      <c r="F7" s="8">
        <v>1.12262</v>
      </c>
      <c r="G7" s="8">
        <v>53.27</v>
      </c>
      <c r="H7" s="8">
        <v>20.192</v>
      </c>
      <c r="I7" s="8">
        <v>7.8</v>
      </c>
      <c r="J7" s="8">
        <v>1</v>
      </c>
      <c r="K7" s="10">
        <v>3093</v>
      </c>
      <c r="L7" s="4"/>
      <c r="M7" s="4"/>
      <c r="N7" s="4"/>
      <c r="O7" s="4"/>
      <c r="P7" s="4"/>
      <c r="Q7" s="4"/>
      <c r="R7" s="4"/>
      <c r="S7"/>
      <c r="T7"/>
      <c r="U7"/>
      <c r="V7"/>
      <c r="W7"/>
      <c r="X7"/>
      <c r="Y7"/>
    </row>
    <row r="8" spans="1:25" ht="15" x14ac:dyDescent="0.25">
      <c r="A8" s="8" t="s">
        <v>16</v>
      </c>
      <c r="B8" s="9">
        <v>43721</v>
      </c>
      <c r="C8" s="8">
        <v>976.55</v>
      </c>
      <c r="D8" s="8">
        <v>75.790000000000006</v>
      </c>
      <c r="E8" s="8">
        <v>21.38</v>
      </c>
      <c r="F8" s="8">
        <v>3.9483999999999999</v>
      </c>
      <c r="G8" s="8">
        <v>1061.3</v>
      </c>
      <c r="H8" s="8">
        <v>15.329000000000001</v>
      </c>
      <c r="I8" s="8">
        <v>1.0409999999999999</v>
      </c>
      <c r="J8" s="8">
        <v>1</v>
      </c>
      <c r="K8" s="10">
        <v>59346</v>
      </c>
      <c r="L8" s="4"/>
      <c r="M8" s="4"/>
      <c r="N8" s="4"/>
      <c r="O8" s="4"/>
      <c r="P8" s="4"/>
      <c r="Q8" s="4"/>
      <c r="R8" s="4"/>
      <c r="S8"/>
      <c r="T8"/>
      <c r="U8"/>
      <c r="V8"/>
      <c r="W8"/>
      <c r="X8"/>
      <c r="Y8"/>
    </row>
    <row r="9" spans="1:25" ht="15" x14ac:dyDescent="0.25">
      <c r="A9" s="3"/>
      <c r="B9" s="2" t="e">
        <f>VLOOKUP(A9,#REF!,2)</f>
        <v>#REF!</v>
      </c>
      <c r="C9" s="3" t="e">
        <f>VLOOKUP(A9,#REF!,3)</f>
        <v>#REF!</v>
      </c>
      <c r="D9" s="3" t="e">
        <f>VLOOKUP(A9,#REF!,4)</f>
        <v>#REF!</v>
      </c>
      <c r="E9" s="3" t="e">
        <f>VLOOKUP(A9,#REF!,5)</f>
        <v>#REF!</v>
      </c>
      <c r="F9" s="3" t="e">
        <f>VLOOKUP(A9,#REF!,6)</f>
        <v>#REF!</v>
      </c>
      <c r="G9" s="3" t="e">
        <f>VLOOKUP(A9,#REF!,7)</f>
        <v>#REF!</v>
      </c>
      <c r="H9" s="3" t="e">
        <f>VLOOKUP(A9,#REF!,8)</f>
        <v>#REF!</v>
      </c>
      <c r="I9" s="3" t="e">
        <f>VLOOKUP(A9,#REF!,9)</f>
        <v>#REF!</v>
      </c>
      <c r="J9" s="3" t="e">
        <f>VLOOKUP(A9,#REF!,12)</f>
        <v>#REF!</v>
      </c>
      <c r="K9" s="3"/>
      <c r="L9" s="4"/>
      <c r="M9" s="4"/>
      <c r="N9" s="4"/>
      <c r="O9" s="4"/>
      <c r="P9" s="4"/>
      <c r="Q9" s="4"/>
      <c r="R9" s="4"/>
      <c r="S9"/>
      <c r="T9"/>
      <c r="U9"/>
      <c r="V9"/>
      <c r="W9"/>
      <c r="X9"/>
      <c r="Y9"/>
    </row>
    <row r="10" spans="1:25" ht="15" x14ac:dyDescent="0.25">
      <c r="A10" s="3"/>
      <c r="B10" s="2" t="e">
        <f>VLOOKUP(A10,#REF!,2)</f>
        <v>#REF!</v>
      </c>
      <c r="C10" s="3" t="e">
        <f>VLOOKUP(A10,#REF!,3)</f>
        <v>#REF!</v>
      </c>
      <c r="D10" s="3" t="e">
        <f>VLOOKUP(A10,#REF!,4)</f>
        <v>#REF!</v>
      </c>
      <c r="E10" s="3" t="e">
        <f>VLOOKUP(A10,#REF!,5)</f>
        <v>#REF!</v>
      </c>
      <c r="F10" s="3" t="e">
        <f>VLOOKUP(A10,#REF!,6)</f>
        <v>#REF!</v>
      </c>
      <c r="G10" s="3" t="e">
        <f>VLOOKUP(A10,#REF!,7)</f>
        <v>#REF!</v>
      </c>
      <c r="H10" s="3" t="e">
        <f>VLOOKUP(A10,#REF!,8)</f>
        <v>#REF!</v>
      </c>
      <c r="I10" s="3" t="e">
        <f>VLOOKUP(A10,#REF!,9)</f>
        <v>#REF!</v>
      </c>
      <c r="J10" s="3" t="e">
        <f>VLOOKUP(A10,#REF!,12)</f>
        <v>#REF!</v>
      </c>
      <c r="K10" s="3"/>
      <c r="L10" s="4"/>
      <c r="M10" s="4"/>
      <c r="N10" s="4"/>
      <c r="O10" s="4"/>
      <c r="P10" s="4"/>
      <c r="Q10" s="4"/>
      <c r="R10" s="4"/>
      <c r="S10"/>
      <c r="T10"/>
      <c r="U10"/>
      <c r="V10"/>
      <c r="W10"/>
      <c r="X10"/>
      <c r="Y10"/>
    </row>
    <row r="11" spans="1:25" ht="15" x14ac:dyDescent="0.25">
      <c r="A11" s="3"/>
      <c r="B11" s="2" t="e">
        <f>VLOOKUP(A11,#REF!,2)</f>
        <v>#REF!</v>
      </c>
      <c r="C11" s="3" t="e">
        <f>VLOOKUP(A11,#REF!,3)</f>
        <v>#REF!</v>
      </c>
      <c r="D11" s="3" t="e">
        <f>VLOOKUP(A11,#REF!,4)</f>
        <v>#REF!</v>
      </c>
      <c r="E11" s="3" t="e">
        <f>VLOOKUP(A11,#REF!,5)</f>
        <v>#REF!</v>
      </c>
      <c r="F11" s="3" t="e">
        <f>VLOOKUP(A11,#REF!,6)</f>
        <v>#REF!</v>
      </c>
      <c r="G11" s="3" t="e">
        <f>VLOOKUP(A11,#REF!,7)</f>
        <v>#REF!</v>
      </c>
      <c r="H11" s="3" t="e">
        <f>VLOOKUP(A11,#REF!,8)</f>
        <v>#REF!</v>
      </c>
      <c r="I11" s="3" t="e">
        <f>VLOOKUP(A11,#REF!,9)</f>
        <v>#REF!</v>
      </c>
      <c r="J11" s="3" t="e">
        <f>VLOOKUP(A11,#REF!,12)</f>
        <v>#REF!</v>
      </c>
      <c r="K11" s="3"/>
      <c r="L11" s="4"/>
      <c r="M11" s="4"/>
      <c r="N11" s="4"/>
      <c r="O11" s="4"/>
      <c r="P11" s="4"/>
      <c r="Q11" s="4"/>
      <c r="R11" s="4"/>
      <c r="S11"/>
      <c r="T11"/>
      <c r="U11"/>
      <c r="V11"/>
      <c r="W11"/>
      <c r="X11"/>
      <c r="Y11"/>
    </row>
    <row r="12" spans="1:25" ht="15" x14ac:dyDescent="0.25">
      <c r="A12" s="3"/>
      <c r="B12" s="2" t="e">
        <f>VLOOKUP(A12,#REF!,2)</f>
        <v>#REF!</v>
      </c>
      <c r="C12" s="3" t="e">
        <f>VLOOKUP(A12,#REF!,3)</f>
        <v>#REF!</v>
      </c>
      <c r="D12" s="3" t="e">
        <f>VLOOKUP(A12,#REF!,4)</f>
        <v>#REF!</v>
      </c>
      <c r="E12" s="3" t="e">
        <f>VLOOKUP(A12,#REF!,5)</f>
        <v>#REF!</v>
      </c>
      <c r="F12" s="3" t="e">
        <f>VLOOKUP(A12,#REF!,6)</f>
        <v>#REF!</v>
      </c>
      <c r="G12" s="3" t="e">
        <f>VLOOKUP(A12,#REF!,7)</f>
        <v>#REF!</v>
      </c>
      <c r="H12" s="3" t="e">
        <f>VLOOKUP(A12,#REF!,8)</f>
        <v>#REF!</v>
      </c>
      <c r="I12" s="3" t="e">
        <f>VLOOKUP(A12,#REF!,9)</f>
        <v>#REF!</v>
      </c>
      <c r="J12" s="3" t="e">
        <f>VLOOKUP(A12,#REF!,12)</f>
        <v>#REF!</v>
      </c>
      <c r="K12" s="3"/>
      <c r="L12" s="4"/>
      <c r="M12" s="4"/>
      <c r="N12" s="4"/>
      <c r="O12" s="4"/>
      <c r="P12" s="4"/>
      <c r="Q12" s="4"/>
      <c r="R12" s="4"/>
      <c r="S12"/>
      <c r="T12"/>
      <c r="U12"/>
      <c r="V12"/>
      <c r="W12"/>
      <c r="X12"/>
      <c r="Y12"/>
    </row>
    <row r="13" spans="1:25" ht="15" x14ac:dyDescent="0.25">
      <c r="A13" s="3"/>
      <c r="B13" s="2" t="e">
        <f>VLOOKUP(A13,#REF!,2)</f>
        <v>#REF!</v>
      </c>
      <c r="C13" s="3" t="e">
        <f>VLOOKUP(A13,#REF!,3)</f>
        <v>#REF!</v>
      </c>
      <c r="D13" s="3" t="e">
        <f>VLOOKUP(A13,#REF!,4)</f>
        <v>#REF!</v>
      </c>
      <c r="E13" s="3" t="e">
        <f>VLOOKUP(A13,#REF!,5)</f>
        <v>#REF!</v>
      </c>
      <c r="F13" s="3" t="e">
        <f>VLOOKUP(A13,#REF!,6)</f>
        <v>#REF!</v>
      </c>
      <c r="G13" s="3" t="e">
        <f>VLOOKUP(A13,#REF!,7)</f>
        <v>#REF!</v>
      </c>
      <c r="H13" s="3" t="e">
        <f>VLOOKUP(A13,#REF!,8)</f>
        <v>#REF!</v>
      </c>
      <c r="I13" s="3" t="e">
        <f>VLOOKUP(A13,#REF!,9)</f>
        <v>#REF!</v>
      </c>
      <c r="J13" s="3" t="e">
        <f>VLOOKUP(A13,#REF!,12)</f>
        <v>#REF!</v>
      </c>
      <c r="K13" s="3"/>
      <c r="L13" s="4"/>
      <c r="M13" s="4"/>
      <c r="N13" s="4"/>
      <c r="O13" s="4"/>
      <c r="P13" s="4"/>
      <c r="Q13" s="4"/>
      <c r="R13" s="4"/>
      <c r="S13"/>
      <c r="T13"/>
      <c r="U13"/>
      <c r="V13"/>
      <c r="W13"/>
      <c r="X13"/>
      <c r="Y13"/>
    </row>
    <row r="14" spans="1:25" ht="15" x14ac:dyDescent="0.25">
      <c r="A14" s="3"/>
      <c r="B14" s="2" t="e">
        <f>VLOOKUP(A14,#REF!,2)</f>
        <v>#REF!</v>
      </c>
      <c r="C14" s="3" t="e">
        <f>VLOOKUP(A14,#REF!,3)</f>
        <v>#REF!</v>
      </c>
      <c r="D14" s="3" t="e">
        <f>VLOOKUP(A14,#REF!,4)</f>
        <v>#REF!</v>
      </c>
      <c r="E14" s="3" t="e">
        <f>VLOOKUP(A14,#REF!,5)</f>
        <v>#REF!</v>
      </c>
      <c r="F14" s="3" t="e">
        <f>VLOOKUP(A14,#REF!,6)</f>
        <v>#REF!</v>
      </c>
      <c r="G14" s="3" t="e">
        <f>VLOOKUP(A14,#REF!,7)</f>
        <v>#REF!</v>
      </c>
      <c r="H14" s="3" t="e">
        <f>VLOOKUP(A14,#REF!,8)</f>
        <v>#REF!</v>
      </c>
      <c r="I14" s="3" t="e">
        <f>VLOOKUP(A14,#REF!,9)</f>
        <v>#REF!</v>
      </c>
      <c r="J14" s="3" t="e">
        <f>VLOOKUP(A14,#REF!,12)</f>
        <v>#REF!</v>
      </c>
      <c r="K14" s="3"/>
      <c r="L14" s="4"/>
      <c r="M14" s="4"/>
      <c r="N14" s="4"/>
      <c r="O14" s="4"/>
      <c r="P14" s="4"/>
      <c r="Q14" s="4"/>
      <c r="R14" s="4"/>
      <c r="S14"/>
      <c r="T14"/>
      <c r="U14"/>
      <c r="V14"/>
      <c r="W14"/>
      <c r="X14"/>
      <c r="Y14"/>
    </row>
    <row r="15" spans="1:25" ht="15" x14ac:dyDescent="0.25">
      <c r="A15" s="3"/>
      <c r="B15" s="2" t="e">
        <f>VLOOKUP(A15,#REF!,2)</f>
        <v>#REF!</v>
      </c>
      <c r="C15" s="3" t="e">
        <f>VLOOKUP(A15,#REF!,3)</f>
        <v>#REF!</v>
      </c>
      <c r="D15" s="3" t="e">
        <f>VLOOKUP(A15,#REF!,4)</f>
        <v>#REF!</v>
      </c>
      <c r="E15" s="3" t="e">
        <f>VLOOKUP(A15,#REF!,5)</f>
        <v>#REF!</v>
      </c>
      <c r="F15" s="3" t="e">
        <f>VLOOKUP(A15,#REF!,6)</f>
        <v>#REF!</v>
      </c>
      <c r="G15" s="3" t="e">
        <f>VLOOKUP(A15,#REF!,7)</f>
        <v>#REF!</v>
      </c>
      <c r="H15" s="3" t="e">
        <f>VLOOKUP(A15,#REF!,8)</f>
        <v>#REF!</v>
      </c>
      <c r="I15" s="3" t="e">
        <f>VLOOKUP(A15,#REF!,9)</f>
        <v>#REF!</v>
      </c>
      <c r="J15" s="3" t="e">
        <f>VLOOKUP(A15,#REF!,12)</f>
        <v>#REF!</v>
      </c>
      <c r="K15" s="3"/>
      <c r="L15" s="4"/>
      <c r="M15" s="4"/>
      <c r="N15" s="4"/>
      <c r="O15" s="4"/>
      <c r="P15" s="4"/>
      <c r="Q15" s="4"/>
      <c r="R15" s="4"/>
      <c r="S15"/>
      <c r="T15"/>
      <c r="U15"/>
      <c r="V15"/>
      <c r="W15"/>
      <c r="X15"/>
      <c r="Y15"/>
    </row>
    <row r="16" spans="1:25" ht="15" x14ac:dyDescent="0.25">
      <c r="A16" s="3"/>
      <c r="B16" s="2" t="e">
        <f>VLOOKUP(A16,#REF!,2)</f>
        <v>#REF!</v>
      </c>
      <c r="C16" s="3" t="e">
        <f>VLOOKUP(A16,#REF!,3)</f>
        <v>#REF!</v>
      </c>
      <c r="D16" s="3" t="e">
        <f>VLOOKUP(A16,#REF!,4)</f>
        <v>#REF!</v>
      </c>
      <c r="E16" s="3" t="e">
        <f>VLOOKUP(A16,#REF!,5)</f>
        <v>#REF!</v>
      </c>
      <c r="F16" s="3" t="e">
        <f>VLOOKUP(A16,#REF!,6)</f>
        <v>#REF!</v>
      </c>
      <c r="G16" s="3" t="e">
        <f>VLOOKUP(A16,#REF!,7)</f>
        <v>#REF!</v>
      </c>
      <c r="H16" s="3" t="e">
        <f>VLOOKUP(A16,#REF!,8)</f>
        <v>#REF!</v>
      </c>
      <c r="I16" s="3" t="e">
        <f>VLOOKUP(A16,#REF!,9)</f>
        <v>#REF!</v>
      </c>
      <c r="J16" s="3" t="e">
        <f>VLOOKUP(A16,#REF!,12)</f>
        <v>#REF!</v>
      </c>
      <c r="K16" s="3"/>
      <c r="L16" s="4"/>
      <c r="M16" s="4"/>
      <c r="N16" s="4"/>
      <c r="O16" s="4"/>
      <c r="P16" s="4"/>
      <c r="Q16" s="4"/>
      <c r="R16" s="4"/>
      <c r="S16"/>
      <c r="T16"/>
      <c r="U16"/>
      <c r="V16"/>
      <c r="W16"/>
      <c r="X16"/>
      <c r="Y16"/>
    </row>
    <row r="17" spans="1:25" ht="15" x14ac:dyDescent="0.25">
      <c r="A17" s="3"/>
      <c r="B17" s="2" t="e">
        <f>VLOOKUP(A17,#REF!,2)</f>
        <v>#REF!</v>
      </c>
      <c r="C17" s="3" t="e">
        <f>VLOOKUP(A17,#REF!,3)</f>
        <v>#REF!</v>
      </c>
      <c r="D17" s="3" t="e">
        <f>VLOOKUP(A17,#REF!,4)</f>
        <v>#REF!</v>
      </c>
      <c r="E17" s="3" t="e">
        <f>VLOOKUP(A17,#REF!,5)</f>
        <v>#REF!</v>
      </c>
      <c r="F17" s="3" t="e">
        <f>VLOOKUP(A17,#REF!,6)</f>
        <v>#REF!</v>
      </c>
      <c r="G17" s="3" t="e">
        <f>VLOOKUP(A17,#REF!,7)</f>
        <v>#REF!</v>
      </c>
      <c r="H17" s="3" t="e">
        <f>VLOOKUP(A17,#REF!,8)</f>
        <v>#REF!</v>
      </c>
      <c r="I17" s="3" t="e">
        <f>VLOOKUP(A17,#REF!,9)</f>
        <v>#REF!</v>
      </c>
      <c r="J17" s="3" t="e">
        <f>VLOOKUP(A17,#REF!,12)</f>
        <v>#REF!</v>
      </c>
      <c r="K17" s="3"/>
      <c r="L17" s="4"/>
      <c r="M17" s="4"/>
      <c r="N17" s="4"/>
      <c r="O17" s="4"/>
      <c r="P17" s="4"/>
      <c r="Q17" s="4"/>
      <c r="R17" s="4"/>
      <c r="S17"/>
      <c r="T17"/>
      <c r="U17"/>
      <c r="V17"/>
      <c r="W17"/>
      <c r="X17"/>
      <c r="Y17"/>
    </row>
    <row r="18" spans="1:25" ht="15" x14ac:dyDescent="0.25">
      <c r="A18" s="3"/>
      <c r="B18" s="2" t="e">
        <f>VLOOKUP(A18,#REF!,2)</f>
        <v>#REF!</v>
      </c>
      <c r="C18" s="3" t="e">
        <f>VLOOKUP(A18,#REF!,3)</f>
        <v>#REF!</v>
      </c>
      <c r="D18" s="3" t="e">
        <f>VLOOKUP(A18,#REF!,4)</f>
        <v>#REF!</v>
      </c>
      <c r="E18" s="3" t="e">
        <f>VLOOKUP(A18,#REF!,5)</f>
        <v>#REF!</v>
      </c>
      <c r="F18" s="3" t="e">
        <f>VLOOKUP(A18,#REF!,6)</f>
        <v>#REF!</v>
      </c>
      <c r="G18" s="3" t="e">
        <f>VLOOKUP(A18,#REF!,7)</f>
        <v>#REF!</v>
      </c>
      <c r="H18" s="3" t="e">
        <f>VLOOKUP(A18,#REF!,8)</f>
        <v>#REF!</v>
      </c>
      <c r="I18" s="3" t="e">
        <f>VLOOKUP(A18,#REF!,9)</f>
        <v>#REF!</v>
      </c>
      <c r="J18" s="3" t="e">
        <f>VLOOKUP(A18,#REF!,12)</f>
        <v>#REF!</v>
      </c>
      <c r="K18" s="3"/>
      <c r="L18" s="4"/>
      <c r="M18" s="4"/>
      <c r="N18" s="4"/>
      <c r="O18" s="4"/>
      <c r="P18" s="4"/>
      <c r="Q18" s="4"/>
      <c r="R18" s="4"/>
      <c r="S18"/>
      <c r="T18"/>
      <c r="U18"/>
      <c r="V18"/>
      <c r="W18"/>
      <c r="X18"/>
      <c r="Y18"/>
    </row>
    <row r="19" spans="1:25" x14ac:dyDescent="0.2">
      <c r="A19" s="3"/>
      <c r="B19" s="2" t="e">
        <f>VLOOKUP(A19,#REF!,2)</f>
        <v>#REF!</v>
      </c>
      <c r="C19" s="3" t="e">
        <f>VLOOKUP(A19,#REF!,3)</f>
        <v>#REF!</v>
      </c>
      <c r="D19" s="3" t="e">
        <f>VLOOKUP(A19,#REF!,4)</f>
        <v>#REF!</v>
      </c>
      <c r="E19" s="3" t="e">
        <f>VLOOKUP(A19,#REF!,5)</f>
        <v>#REF!</v>
      </c>
      <c r="F19" s="3" t="e">
        <f>VLOOKUP(A19,#REF!,6)</f>
        <v>#REF!</v>
      </c>
      <c r="G19" s="3" t="e">
        <f>VLOOKUP(A19,#REF!,7)</f>
        <v>#REF!</v>
      </c>
      <c r="H19" s="3" t="e">
        <f>VLOOKUP(A19,#REF!,8)</f>
        <v>#REF!</v>
      </c>
      <c r="I19" s="3" t="e">
        <f>VLOOKUP(A19,#REF!,9)</f>
        <v>#REF!</v>
      </c>
      <c r="J19" s="3" t="e">
        <f>VLOOKUP(A19,#REF!,12)</f>
        <v>#REF!</v>
      </c>
      <c r="K19" s="3"/>
    </row>
    <row r="20" spans="1:25" x14ac:dyDescent="0.2">
      <c r="A20" s="3"/>
      <c r="C20" s="3"/>
      <c r="D20" s="3"/>
      <c r="E20" s="3"/>
      <c r="F20" s="3"/>
      <c r="G20" s="3"/>
      <c r="H20" s="3"/>
      <c r="I20" s="3"/>
      <c r="J20" s="3"/>
      <c r="K20" s="3"/>
    </row>
    <row r="21" spans="1:25" x14ac:dyDescent="0.2">
      <c r="A21" s="3"/>
      <c r="C21" s="3"/>
      <c r="D21" s="3"/>
      <c r="E21" s="3"/>
      <c r="F21" s="3"/>
      <c r="G21" s="3"/>
      <c r="H21" s="3"/>
      <c r="I21" s="3"/>
      <c r="J21" s="3"/>
      <c r="K21" s="3"/>
    </row>
    <row r="22" spans="1:25" x14ac:dyDescent="0.2">
      <c r="A22" s="3"/>
      <c r="C22" s="3"/>
      <c r="D22" s="3"/>
      <c r="E22" s="3"/>
      <c r="F22" s="3"/>
      <c r="G22" s="3"/>
      <c r="H22" s="3"/>
      <c r="I22" s="3"/>
      <c r="J22" s="3"/>
      <c r="K22" s="3"/>
    </row>
    <row r="23" spans="1:25" x14ac:dyDescent="0.2">
      <c r="A23" s="3"/>
      <c r="C23" s="3"/>
      <c r="D23" s="3"/>
      <c r="E23" s="3"/>
      <c r="F23" s="3"/>
      <c r="G23" s="3"/>
      <c r="H23" s="3"/>
      <c r="I23" s="3"/>
      <c r="J23" s="3"/>
      <c r="K23" s="3"/>
    </row>
    <row r="24" spans="1:25" x14ac:dyDescent="0.2">
      <c r="A24" s="3"/>
      <c r="C24" s="3"/>
      <c r="D24" s="3"/>
      <c r="E24" s="3"/>
      <c r="F24" s="3"/>
      <c r="G24" s="3"/>
      <c r="H24" s="3"/>
      <c r="I24" s="3"/>
      <c r="J24" s="3"/>
      <c r="K24" s="3"/>
    </row>
    <row r="25" spans="1:25" x14ac:dyDescent="0.2">
      <c r="A25" s="3"/>
      <c r="C25" s="3"/>
      <c r="D25" s="3"/>
      <c r="E25" s="3"/>
      <c r="F25" s="3"/>
      <c r="G25" s="3"/>
      <c r="H25" s="3"/>
      <c r="I25" s="3"/>
      <c r="J25" s="3"/>
      <c r="K25" s="3"/>
    </row>
    <row r="26" spans="1:25" x14ac:dyDescent="0.2">
      <c r="A26" s="3"/>
      <c r="C26" s="3"/>
      <c r="D26" s="3"/>
      <c r="E26" s="3"/>
      <c r="F26" s="3"/>
      <c r="G26" s="3"/>
      <c r="H26" s="3"/>
      <c r="I26" s="3"/>
      <c r="J26" s="3"/>
      <c r="K26" s="3"/>
    </row>
    <row r="27" spans="1:25" x14ac:dyDescent="0.2">
      <c r="A27" s="3"/>
      <c r="C27" s="3"/>
      <c r="D27" s="3"/>
      <c r="E27" s="3"/>
      <c r="F27" s="3"/>
      <c r="G27" s="3"/>
      <c r="H27" s="3"/>
      <c r="I27" s="3"/>
      <c r="J27" s="3"/>
      <c r="K27" s="3"/>
    </row>
    <row r="28" spans="1:25" x14ac:dyDescent="0.2">
      <c r="A28" s="3"/>
      <c r="C28" s="3"/>
      <c r="D28" s="3"/>
      <c r="E28" s="3"/>
      <c r="F28" s="3"/>
      <c r="G28" s="3"/>
      <c r="H28" s="3"/>
      <c r="I28" s="3"/>
      <c r="J28" s="3"/>
      <c r="K28" s="3"/>
    </row>
    <row r="29" spans="1:25" x14ac:dyDescent="0.2">
      <c r="C2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Diagrama stiff_EI</vt:lpstr>
      <vt:lpstr>Diagrama stiff_PA</vt:lpstr>
      <vt:lpstr>Diagrama stiff_PA (2)</vt:lpstr>
      <vt:lpstr>Sheet2</vt:lpstr>
      <vt:lpstr>1 Pozo</vt:lpstr>
      <vt:lpstr>Diagrama stiff_PA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CHANDOMI</dc:creator>
  <cp:lastModifiedBy>Rigoberto Chandomi Vazquez</cp:lastModifiedBy>
  <dcterms:created xsi:type="dcterms:W3CDTF">2015-06-05T18:17:20Z</dcterms:created>
  <dcterms:modified xsi:type="dcterms:W3CDTF">2026-04-18T18:36:54Z</dcterms:modified>
</cp:coreProperties>
</file>