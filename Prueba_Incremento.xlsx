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36766196e7c065f/DOCUMENTOS/Documentos/Publicaciones_RIGOPETRODATA/BLOG_RCV_QUARTO/posts/2026-05-06-semilog-incremento/"/>
    </mc:Choice>
  </mc:AlternateContent>
  <xr:revisionPtr revIDLastSave="12" documentId="8_{761F601C-A947-48DF-8CFE-DADEE8164DC5}" xr6:coauthVersionLast="47" xr6:coauthVersionMax="47" xr10:uidLastSave="{65F8AF53-B1B6-4246-ABA6-60F1B1EDB474}"/>
  <bookViews>
    <workbookView xWindow="-120" yWindow="-120" windowWidth="29040" windowHeight="15720" xr2:uid="{00000000-000D-0000-FFFF-FFFF00000000}"/>
  </bookViews>
  <sheets>
    <sheet name="Ejempl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2" i="3" l="1"/>
  <c r="Y19" i="3"/>
  <c r="E13" i="3"/>
  <c r="Y14" i="3"/>
  <c r="D26" i="3"/>
  <c r="J12" i="3"/>
  <c r="J15" i="3"/>
  <c r="J14" i="3"/>
  <c r="J19" i="3"/>
  <c r="AL12" i="3"/>
  <c r="E62" i="3"/>
  <c r="G62" i="3" s="1"/>
  <c r="D62" i="3"/>
  <c r="F62" i="3" s="1"/>
  <c r="C62" i="3"/>
  <c r="E61" i="3"/>
  <c r="G61" i="3" s="1"/>
  <c r="D61" i="3"/>
  <c r="F61" i="3" s="1"/>
  <c r="C61" i="3"/>
  <c r="E60" i="3"/>
  <c r="G60" i="3" s="1"/>
  <c r="D60" i="3"/>
  <c r="F60" i="3" s="1"/>
  <c r="C60" i="3"/>
  <c r="E59" i="3"/>
  <c r="G59" i="3" s="1"/>
  <c r="D59" i="3"/>
  <c r="F59" i="3" s="1"/>
  <c r="C59" i="3"/>
  <c r="E58" i="3"/>
  <c r="G58" i="3" s="1"/>
  <c r="D58" i="3"/>
  <c r="F58" i="3" s="1"/>
  <c r="C58" i="3"/>
  <c r="E57" i="3"/>
  <c r="G57" i="3" s="1"/>
  <c r="D57" i="3"/>
  <c r="F57" i="3" s="1"/>
  <c r="C57" i="3"/>
  <c r="E56" i="3"/>
  <c r="G56" i="3" s="1"/>
  <c r="D56" i="3"/>
  <c r="F56" i="3" s="1"/>
  <c r="C56" i="3"/>
  <c r="E55" i="3"/>
  <c r="G55" i="3" s="1"/>
  <c r="D55" i="3"/>
  <c r="F55" i="3" s="1"/>
  <c r="C55" i="3"/>
  <c r="E54" i="3"/>
  <c r="G54" i="3" s="1"/>
  <c r="D54" i="3"/>
  <c r="F54" i="3" s="1"/>
  <c r="C54" i="3"/>
  <c r="E53" i="3"/>
  <c r="G53" i="3" s="1"/>
  <c r="D53" i="3"/>
  <c r="F53" i="3" s="1"/>
  <c r="C53" i="3"/>
  <c r="E52" i="3"/>
  <c r="G52" i="3" s="1"/>
  <c r="D52" i="3"/>
  <c r="F52" i="3" s="1"/>
  <c r="C52" i="3"/>
  <c r="E51" i="3"/>
  <c r="G51" i="3" s="1"/>
  <c r="D51" i="3"/>
  <c r="F51" i="3" s="1"/>
  <c r="C51" i="3"/>
  <c r="E50" i="3"/>
  <c r="G50" i="3" s="1"/>
  <c r="D50" i="3"/>
  <c r="F50" i="3" s="1"/>
  <c r="C50" i="3"/>
  <c r="E49" i="3"/>
  <c r="G49" i="3" s="1"/>
  <c r="D49" i="3"/>
  <c r="F49" i="3" s="1"/>
  <c r="C49" i="3"/>
  <c r="E48" i="3"/>
  <c r="G48" i="3" s="1"/>
  <c r="D48" i="3"/>
  <c r="F48" i="3" s="1"/>
  <c r="C48" i="3"/>
  <c r="E47" i="3"/>
  <c r="G47" i="3" s="1"/>
  <c r="D47" i="3"/>
  <c r="F47" i="3" s="1"/>
  <c r="C47" i="3"/>
  <c r="E46" i="3"/>
  <c r="G46" i="3" s="1"/>
  <c r="D46" i="3"/>
  <c r="F46" i="3" s="1"/>
  <c r="C46" i="3"/>
  <c r="E45" i="3"/>
  <c r="G45" i="3" s="1"/>
  <c r="D45" i="3"/>
  <c r="F45" i="3" s="1"/>
  <c r="C45" i="3"/>
  <c r="E44" i="3"/>
  <c r="G44" i="3" s="1"/>
  <c r="D44" i="3"/>
  <c r="F44" i="3" s="1"/>
  <c r="C44" i="3"/>
  <c r="E43" i="3"/>
  <c r="G43" i="3" s="1"/>
  <c r="D43" i="3"/>
  <c r="F43" i="3" s="1"/>
  <c r="C43" i="3"/>
  <c r="E42" i="3"/>
  <c r="G42" i="3" s="1"/>
  <c r="D42" i="3"/>
  <c r="F42" i="3" s="1"/>
  <c r="C42" i="3"/>
  <c r="E41" i="3"/>
  <c r="G41" i="3" s="1"/>
  <c r="D41" i="3"/>
  <c r="F41" i="3" s="1"/>
  <c r="C41" i="3"/>
  <c r="E40" i="3"/>
  <c r="G40" i="3" s="1"/>
  <c r="D40" i="3"/>
  <c r="F40" i="3" s="1"/>
  <c r="C40" i="3"/>
  <c r="E39" i="3"/>
  <c r="G39" i="3" s="1"/>
  <c r="D39" i="3"/>
  <c r="F39" i="3" s="1"/>
  <c r="C39" i="3"/>
  <c r="E38" i="3"/>
  <c r="G38" i="3" s="1"/>
  <c r="D38" i="3"/>
  <c r="F38" i="3" s="1"/>
  <c r="C38" i="3"/>
  <c r="E37" i="3"/>
  <c r="G37" i="3" s="1"/>
  <c r="D37" i="3"/>
  <c r="F37" i="3" s="1"/>
  <c r="C37" i="3"/>
  <c r="E36" i="3"/>
  <c r="G36" i="3" s="1"/>
  <c r="D36" i="3"/>
  <c r="F36" i="3" s="1"/>
  <c r="C36" i="3"/>
  <c r="E35" i="3"/>
  <c r="G35" i="3" s="1"/>
  <c r="D35" i="3"/>
  <c r="F35" i="3" s="1"/>
  <c r="C35" i="3"/>
  <c r="E34" i="3"/>
  <c r="G34" i="3" s="1"/>
  <c r="D34" i="3"/>
  <c r="F34" i="3" s="1"/>
  <c r="C34" i="3"/>
  <c r="E33" i="3"/>
  <c r="G33" i="3" s="1"/>
  <c r="D33" i="3"/>
  <c r="F33" i="3" s="1"/>
  <c r="C33" i="3"/>
  <c r="E32" i="3"/>
  <c r="G32" i="3" s="1"/>
  <c r="D32" i="3"/>
  <c r="F32" i="3" s="1"/>
  <c r="C32" i="3"/>
  <c r="E31" i="3"/>
  <c r="G31" i="3" s="1"/>
  <c r="D31" i="3"/>
  <c r="F31" i="3" s="1"/>
  <c r="C31" i="3"/>
  <c r="E30" i="3"/>
  <c r="G30" i="3" s="1"/>
  <c r="D30" i="3"/>
  <c r="F30" i="3" s="1"/>
  <c r="C30" i="3"/>
  <c r="E29" i="3"/>
  <c r="G29" i="3" s="1"/>
  <c r="D29" i="3"/>
  <c r="F29" i="3" s="1"/>
  <c r="C29" i="3"/>
  <c r="E28" i="3"/>
  <c r="G28" i="3" s="1"/>
  <c r="D28" i="3"/>
  <c r="F28" i="3" s="1"/>
  <c r="C28" i="3"/>
  <c r="E27" i="3"/>
  <c r="G27" i="3" s="1"/>
  <c r="D27" i="3"/>
  <c r="F27" i="3" s="1"/>
  <c r="C27" i="3"/>
  <c r="E26" i="3"/>
  <c r="G26" i="3" s="1"/>
  <c r="F26" i="3"/>
  <c r="C26" i="3"/>
  <c r="E25" i="3"/>
  <c r="G25" i="3" s="1"/>
  <c r="D25" i="3"/>
  <c r="F25" i="3" s="1"/>
  <c r="C25" i="3"/>
  <c r="E24" i="3"/>
  <c r="G24" i="3" s="1"/>
  <c r="D24" i="3"/>
  <c r="F24" i="3" s="1"/>
  <c r="C24" i="3"/>
  <c r="E23" i="3"/>
  <c r="G23" i="3" s="1"/>
  <c r="D23" i="3"/>
  <c r="F23" i="3" s="1"/>
  <c r="C23" i="3"/>
  <c r="E22" i="3"/>
  <c r="G22" i="3" s="1"/>
  <c r="D22" i="3"/>
  <c r="F22" i="3" s="1"/>
  <c r="C22" i="3"/>
  <c r="E21" i="3"/>
  <c r="G21" i="3" s="1"/>
  <c r="D21" i="3"/>
  <c r="F21" i="3" s="1"/>
  <c r="C21" i="3"/>
  <c r="E20" i="3"/>
  <c r="G20" i="3" s="1"/>
  <c r="D20" i="3"/>
  <c r="F20" i="3" s="1"/>
  <c r="C20" i="3"/>
  <c r="E19" i="3"/>
  <c r="G19" i="3" s="1"/>
  <c r="D19" i="3"/>
  <c r="F19" i="3" s="1"/>
  <c r="C19" i="3"/>
  <c r="E18" i="3"/>
  <c r="G18" i="3" s="1"/>
  <c r="D18" i="3"/>
  <c r="F18" i="3" s="1"/>
  <c r="C18" i="3"/>
  <c r="E17" i="3"/>
  <c r="G17" i="3" s="1"/>
  <c r="D17" i="3"/>
  <c r="F17" i="3" s="1"/>
  <c r="C17" i="3"/>
  <c r="E16" i="3"/>
  <c r="G16" i="3" s="1"/>
  <c r="D16" i="3"/>
  <c r="F16" i="3" s="1"/>
  <c r="C16" i="3"/>
  <c r="E15" i="3"/>
  <c r="G15" i="3" s="1"/>
  <c r="D15" i="3"/>
  <c r="F15" i="3" s="1"/>
  <c r="C15" i="3"/>
  <c r="AL14" i="3"/>
  <c r="E14" i="3"/>
  <c r="G14" i="3" s="1"/>
  <c r="D14" i="3"/>
  <c r="F14" i="3" s="1"/>
  <c r="C14" i="3"/>
  <c r="G13" i="3"/>
  <c r="D13" i="3"/>
  <c r="F13" i="3" s="1"/>
  <c r="C13" i="3"/>
  <c r="E12" i="3"/>
  <c r="Y15" i="3" l="1"/>
  <c r="AL19" i="3"/>
  <c r="AL15" i="3"/>
</calcChain>
</file>

<file path=xl/sharedStrings.xml><?xml version="1.0" encoding="utf-8"?>
<sst xmlns="http://schemas.openxmlformats.org/spreadsheetml/2006/main" count="48" uniqueCount="34">
  <si>
    <t>Pwf (psia)</t>
  </si>
  <si>
    <t xml:space="preserve">q </t>
  </si>
  <si>
    <t>STB/D</t>
  </si>
  <si>
    <t>h</t>
  </si>
  <si>
    <t>ft</t>
  </si>
  <si>
    <t>cp</t>
  </si>
  <si>
    <t>μ</t>
  </si>
  <si>
    <t>rw</t>
  </si>
  <si>
    <t>ct</t>
  </si>
  <si>
    <t>Bo</t>
  </si>
  <si>
    <t>ϕ</t>
  </si>
  <si>
    <t>fracción</t>
  </si>
  <si>
    <t>RB/STB</t>
  </si>
  <si>
    <t>psi -1</t>
  </si>
  <si>
    <t>log(t)</t>
  </si>
  <si>
    <t>m</t>
  </si>
  <si>
    <t>k (md)</t>
  </si>
  <si>
    <t>s</t>
  </si>
  <si>
    <t>P (1hr)</t>
  </si>
  <si>
    <t>Parametros</t>
  </si>
  <si>
    <t>Datos</t>
  </si>
  <si>
    <t>tp</t>
  </si>
  <si>
    <t>hrs</t>
  </si>
  <si>
    <t>Metodo MDH</t>
  </si>
  <si>
    <r>
      <t xml:space="preserve">(tp + </t>
    </r>
    <r>
      <rPr>
        <b/>
        <sz val="11"/>
        <color theme="1"/>
        <rFont val="Times New Roman"/>
        <family val="1"/>
      </rPr>
      <t>Δt)/Δt</t>
    </r>
  </si>
  <si>
    <t>Δt (hr)</t>
  </si>
  <si>
    <t>MDH Method</t>
  </si>
  <si>
    <t>Horner Method</t>
  </si>
  <si>
    <t>Metodo de Horner</t>
  </si>
  <si>
    <t>log((tp + Δt)/Δt)</t>
  </si>
  <si>
    <t>Agarwal Method, Tiempo equivalente</t>
  </si>
  <si>
    <t>Δte = (tp Δt)/(tp + Δt)</t>
  </si>
  <si>
    <t>log(Δte)</t>
  </si>
  <si>
    <t>Metodo de Agarwal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</si>
</sst>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1" xfId="0" applyFont="1" applyFill="1" applyBorder="1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15875">
                <a:solidFill>
                  <a:schemeClr val="tx1"/>
                </a:solidFill>
              </a:ln>
              <a:effectLst/>
            </c:spPr>
          </c:marker>
          <c:xVal>
            <c:numRef>
              <c:f>Ejemplo!$A$12:$A$90</c:f>
              <c:numCache>
                <c:formatCode>General</c:formatCode>
                <c:ptCount val="79"/>
                <c:pt idx="0">
                  <c:v>0</c:v>
                </c:pt>
                <c:pt idx="1">
                  <c:v>1E-3</c:v>
                </c:pt>
                <c:pt idx="2">
                  <c:v>1.2999999999999999E-3</c:v>
                </c:pt>
                <c:pt idx="3">
                  <c:v>1.8E-3</c:v>
                </c:pt>
                <c:pt idx="4">
                  <c:v>2.3E-3</c:v>
                </c:pt>
                <c:pt idx="5">
                  <c:v>3.0999999999999999E-3</c:v>
                </c:pt>
                <c:pt idx="6">
                  <c:v>4.1000000000000003E-3</c:v>
                </c:pt>
                <c:pt idx="7">
                  <c:v>5.4000000000000003E-3</c:v>
                </c:pt>
                <c:pt idx="8">
                  <c:v>7.1999999999999998E-3</c:v>
                </c:pt>
                <c:pt idx="9">
                  <c:v>9.4999999999999998E-3</c:v>
                </c:pt>
                <c:pt idx="10">
                  <c:v>1.26E-2</c:v>
                </c:pt>
                <c:pt idx="11">
                  <c:v>1.6799999999999999E-2</c:v>
                </c:pt>
                <c:pt idx="12">
                  <c:v>2.2200000000000001E-2</c:v>
                </c:pt>
                <c:pt idx="13">
                  <c:v>2.9499999999999998E-2</c:v>
                </c:pt>
                <c:pt idx="14">
                  <c:v>3.9100000000000003E-2</c:v>
                </c:pt>
                <c:pt idx="15">
                  <c:v>5.1799999999999999E-2</c:v>
                </c:pt>
                <c:pt idx="16">
                  <c:v>6.8699999999999997E-2</c:v>
                </c:pt>
                <c:pt idx="17">
                  <c:v>9.0999999999999998E-2</c:v>
                </c:pt>
                <c:pt idx="18">
                  <c:v>0.1207</c:v>
                </c:pt>
                <c:pt idx="19">
                  <c:v>0.16</c:v>
                </c:pt>
                <c:pt idx="20">
                  <c:v>0.21210000000000001</c:v>
                </c:pt>
                <c:pt idx="21">
                  <c:v>0.28120000000000001</c:v>
                </c:pt>
                <c:pt idx="22">
                  <c:v>0.37280000000000002</c:v>
                </c:pt>
                <c:pt idx="23">
                  <c:v>0.49419999999999997</c:v>
                </c:pt>
                <c:pt idx="24">
                  <c:v>0.65510000000000002</c:v>
                </c:pt>
                <c:pt idx="25">
                  <c:v>0.86850000000000005</c:v>
                </c:pt>
                <c:pt idx="26">
                  <c:v>1.1514</c:v>
                </c:pt>
                <c:pt idx="27">
                  <c:v>1.5264</c:v>
                </c:pt>
                <c:pt idx="28">
                  <c:v>2.0236000000000001</c:v>
                </c:pt>
                <c:pt idx="29">
                  <c:v>2.6827000000000001</c:v>
                </c:pt>
                <c:pt idx="30">
                  <c:v>3.5565000000000002</c:v>
                </c:pt>
                <c:pt idx="31">
                  <c:v>4.7149000000000001</c:v>
                </c:pt>
                <c:pt idx="32">
                  <c:v>6.2506000000000004</c:v>
                </c:pt>
                <c:pt idx="33">
                  <c:v>8.2864000000000004</c:v>
                </c:pt>
                <c:pt idx="34">
                  <c:v>10.9854</c:v>
                </c:pt>
                <c:pt idx="35">
                  <c:v>14.563499999999999</c:v>
                </c:pt>
                <c:pt idx="36">
                  <c:v>19.306999999999999</c:v>
                </c:pt>
                <c:pt idx="37">
                  <c:v>25.595500000000001</c:v>
                </c:pt>
                <c:pt idx="38">
                  <c:v>33.932200000000002</c:v>
                </c:pt>
                <c:pt idx="39">
                  <c:v>44.984299999999998</c:v>
                </c:pt>
                <c:pt idx="40">
                  <c:v>59.636200000000002</c:v>
                </c:pt>
                <c:pt idx="41">
                  <c:v>79.060400000000001</c:v>
                </c:pt>
                <c:pt idx="42">
                  <c:v>104.8113</c:v>
                </c:pt>
                <c:pt idx="43">
                  <c:v>138.9496</c:v>
                </c:pt>
                <c:pt idx="44">
                  <c:v>184.20699999999999</c:v>
                </c:pt>
                <c:pt idx="45">
                  <c:v>244.20529999999999</c:v>
                </c:pt>
                <c:pt idx="46">
                  <c:v>323.74579999999997</c:v>
                </c:pt>
                <c:pt idx="47">
                  <c:v>429.1934</c:v>
                </c:pt>
                <c:pt idx="48">
                  <c:v>568.98659999999995</c:v>
                </c:pt>
                <c:pt idx="49">
                  <c:v>754.31200000000001</c:v>
                </c:pt>
                <c:pt idx="50">
                  <c:v>1000</c:v>
                </c:pt>
              </c:numCache>
            </c:numRef>
          </c:xVal>
          <c:yVal>
            <c:numRef>
              <c:f>Ejemplo!$B$12:$B$90</c:f>
              <c:numCache>
                <c:formatCode>General</c:formatCode>
                <c:ptCount val="79"/>
                <c:pt idx="0">
                  <c:v>4404.84</c:v>
                </c:pt>
                <c:pt idx="1">
                  <c:v>4405.47</c:v>
                </c:pt>
                <c:pt idx="2">
                  <c:v>4405.67</c:v>
                </c:pt>
                <c:pt idx="3">
                  <c:v>4405.9399999999996</c:v>
                </c:pt>
                <c:pt idx="4">
                  <c:v>4406.3</c:v>
                </c:pt>
                <c:pt idx="5">
                  <c:v>4406.7700000000004</c:v>
                </c:pt>
                <c:pt idx="6">
                  <c:v>4407.3999999999996</c:v>
                </c:pt>
                <c:pt idx="7">
                  <c:v>4408.22</c:v>
                </c:pt>
                <c:pt idx="8">
                  <c:v>4409.32</c:v>
                </c:pt>
                <c:pt idx="9">
                  <c:v>4410.76</c:v>
                </c:pt>
                <c:pt idx="10">
                  <c:v>4412.67</c:v>
                </c:pt>
                <c:pt idx="11">
                  <c:v>4415.1899999999996</c:v>
                </c:pt>
                <c:pt idx="12">
                  <c:v>4418.51</c:v>
                </c:pt>
                <c:pt idx="13">
                  <c:v>4422.8599999999997</c:v>
                </c:pt>
                <c:pt idx="14">
                  <c:v>4428.57</c:v>
                </c:pt>
                <c:pt idx="15">
                  <c:v>4436.01</c:v>
                </c:pt>
                <c:pt idx="16">
                  <c:v>4445.67</c:v>
                </c:pt>
                <c:pt idx="17">
                  <c:v>4458.12</c:v>
                </c:pt>
                <c:pt idx="18">
                  <c:v>4474.05</c:v>
                </c:pt>
                <c:pt idx="19">
                  <c:v>4494.1899999999996</c:v>
                </c:pt>
                <c:pt idx="20">
                  <c:v>4519.29</c:v>
                </c:pt>
                <c:pt idx="21">
                  <c:v>4549.99</c:v>
                </c:pt>
                <c:pt idx="22">
                  <c:v>4586.6400000000003</c:v>
                </c:pt>
                <c:pt idx="23">
                  <c:v>4629.0600000000004</c:v>
                </c:pt>
                <c:pt idx="24">
                  <c:v>4676.3</c:v>
                </c:pt>
                <c:pt idx="25">
                  <c:v>4726.3999999999996</c:v>
                </c:pt>
                <c:pt idx="26">
                  <c:v>4776.4799999999996</c:v>
                </c:pt>
                <c:pt idx="27">
                  <c:v>4823.0600000000004</c:v>
                </c:pt>
                <c:pt idx="28">
                  <c:v>4862.92</c:v>
                </c:pt>
                <c:pt idx="29">
                  <c:v>4894</c:v>
                </c:pt>
                <c:pt idx="30">
                  <c:v>4916.03</c:v>
                </c:pt>
                <c:pt idx="31">
                  <c:v>4930.42</c:v>
                </c:pt>
                <c:pt idx="32">
                  <c:v>4939.46</c:v>
                </c:pt>
                <c:pt idx="33">
                  <c:v>4945.3999999999996</c:v>
                </c:pt>
                <c:pt idx="34">
                  <c:v>4949.78</c:v>
                </c:pt>
                <c:pt idx="35">
                  <c:v>4953.4799999999996</c:v>
                </c:pt>
                <c:pt idx="36">
                  <c:v>4956.87</c:v>
                </c:pt>
                <c:pt idx="37">
                  <c:v>4960.09</c:v>
                </c:pt>
                <c:pt idx="38">
                  <c:v>4963.21</c:v>
                </c:pt>
                <c:pt idx="39">
                  <c:v>4966.24</c:v>
                </c:pt>
                <c:pt idx="40">
                  <c:v>4969.1899999999996</c:v>
                </c:pt>
                <c:pt idx="41">
                  <c:v>4972.07</c:v>
                </c:pt>
                <c:pt idx="42">
                  <c:v>4974.88</c:v>
                </c:pt>
                <c:pt idx="43">
                  <c:v>4977.59</c:v>
                </c:pt>
                <c:pt idx="44">
                  <c:v>4980.2</c:v>
                </c:pt>
                <c:pt idx="45">
                  <c:v>4982.6899999999996</c:v>
                </c:pt>
                <c:pt idx="46">
                  <c:v>4985.04</c:v>
                </c:pt>
                <c:pt idx="47">
                  <c:v>4987.2299999999996</c:v>
                </c:pt>
                <c:pt idx="48">
                  <c:v>4989.2299999999996</c:v>
                </c:pt>
                <c:pt idx="49">
                  <c:v>4991.05</c:v>
                </c:pt>
                <c:pt idx="50">
                  <c:v>4992.6499999999996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07-4190-8CE8-2C353C20CFE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Ejemplo!$A$47:$A$60</c:f>
              <c:numCache>
                <c:formatCode>General</c:formatCode>
                <c:ptCount val="14"/>
                <c:pt idx="0">
                  <c:v>14.563499999999999</c:v>
                </c:pt>
                <c:pt idx="1">
                  <c:v>19.306999999999999</c:v>
                </c:pt>
                <c:pt idx="2">
                  <c:v>25.595500000000001</c:v>
                </c:pt>
                <c:pt idx="3">
                  <c:v>33.932200000000002</c:v>
                </c:pt>
                <c:pt idx="4">
                  <c:v>44.984299999999998</c:v>
                </c:pt>
                <c:pt idx="5">
                  <c:v>59.636200000000002</c:v>
                </c:pt>
                <c:pt idx="6">
                  <c:v>79.060400000000001</c:v>
                </c:pt>
                <c:pt idx="7">
                  <c:v>104.8113</c:v>
                </c:pt>
                <c:pt idx="8">
                  <c:v>138.9496</c:v>
                </c:pt>
                <c:pt idx="9">
                  <c:v>184.20699999999999</c:v>
                </c:pt>
                <c:pt idx="10">
                  <c:v>244.20529999999999</c:v>
                </c:pt>
                <c:pt idx="11">
                  <c:v>323.74579999999997</c:v>
                </c:pt>
                <c:pt idx="12">
                  <c:v>429.1934</c:v>
                </c:pt>
                <c:pt idx="13">
                  <c:v>568.98659999999995</c:v>
                </c:pt>
              </c:numCache>
            </c:numRef>
          </c:xVal>
          <c:yVal>
            <c:numRef>
              <c:f>Ejemplo!$B$47:$B$60</c:f>
              <c:numCache>
                <c:formatCode>General</c:formatCode>
                <c:ptCount val="14"/>
                <c:pt idx="0">
                  <c:v>4953.4799999999996</c:v>
                </c:pt>
                <c:pt idx="1">
                  <c:v>4956.87</c:v>
                </c:pt>
                <c:pt idx="2">
                  <c:v>4960.09</c:v>
                </c:pt>
                <c:pt idx="3">
                  <c:v>4963.21</c:v>
                </c:pt>
                <c:pt idx="4">
                  <c:v>4966.24</c:v>
                </c:pt>
                <c:pt idx="5">
                  <c:v>4969.1899999999996</c:v>
                </c:pt>
                <c:pt idx="6">
                  <c:v>4972.07</c:v>
                </c:pt>
                <c:pt idx="7">
                  <c:v>4974.88</c:v>
                </c:pt>
                <c:pt idx="8">
                  <c:v>4977.59</c:v>
                </c:pt>
                <c:pt idx="9">
                  <c:v>4980.2</c:v>
                </c:pt>
                <c:pt idx="10">
                  <c:v>4982.6899999999996</c:v>
                </c:pt>
                <c:pt idx="11">
                  <c:v>4985.04</c:v>
                </c:pt>
                <c:pt idx="12">
                  <c:v>4987.2299999999996</c:v>
                </c:pt>
                <c:pt idx="13">
                  <c:v>4989.2299999999996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07-4190-8CE8-2C353C20C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938256"/>
        <c:axId val="1551939088"/>
      </c:scatterChart>
      <c:valAx>
        <c:axId val="155193825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t, hr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51939088"/>
        <c:crossesAt val="2550"/>
        <c:crossBetween val="midCat"/>
      </c:valAx>
      <c:valAx>
        <c:axId val="155193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Pwf, psia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51938256"/>
        <c:crossesAt val="1.0000000000000002E-3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75977669493115"/>
          <c:y val="5.7654751120711681E-2"/>
          <c:w val="0.8033104205565591"/>
          <c:h val="0.7872814902561958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15875">
                <a:solidFill>
                  <a:schemeClr val="tx1"/>
                </a:solidFill>
              </a:ln>
              <a:effectLst/>
            </c:spPr>
          </c:marker>
          <c:trendline>
            <c:spPr>
              <a:ln w="2857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8004176895759542"/>
                  <c:y val="0.134085661858639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Ejemplo!$C$47:$C$60</c:f>
              <c:numCache>
                <c:formatCode>General</c:formatCode>
                <c:ptCount val="14"/>
                <c:pt idx="0">
                  <c:v>1.163265760143223</c:v>
                </c:pt>
                <c:pt idx="1">
                  <c:v>1.2857147965829097</c:v>
                </c:pt>
                <c:pt idx="2">
                  <c:v>1.4081636177745231</c:v>
                </c:pt>
                <c:pt idx="3">
                  <c:v>1.5306120181150913</c:v>
                </c:pt>
                <c:pt idx="4">
                  <c:v>1.6530609668180396</c:v>
                </c:pt>
                <c:pt idx="5">
                  <c:v>1.7755099625541122</c:v>
                </c:pt>
                <c:pt idx="6">
                  <c:v>1.897959007291967</c:v>
                </c:pt>
                <c:pt idx="7">
                  <c:v>2.0204081076771816</c:v>
                </c:pt>
                <c:pt idx="8">
                  <c:v>2.1428573008935792</c:v>
                </c:pt>
                <c:pt idx="9">
                  <c:v>2.2653061296806474</c:v>
                </c:pt>
                <c:pt idx="10">
                  <c:v>2.387755085226293</c:v>
                </c:pt>
                <c:pt idx="11">
                  <c:v>2.5102041429621864</c:v>
                </c:pt>
                <c:pt idx="12">
                  <c:v>2.6326530349024426</c:v>
                </c:pt>
                <c:pt idx="13">
                  <c:v>2.755102038601426</c:v>
                </c:pt>
              </c:numCache>
            </c:numRef>
          </c:xVal>
          <c:yVal>
            <c:numRef>
              <c:f>Ejemplo!$B$47:$B$60</c:f>
              <c:numCache>
                <c:formatCode>General</c:formatCode>
                <c:ptCount val="14"/>
                <c:pt idx="0">
                  <c:v>4953.4799999999996</c:v>
                </c:pt>
                <c:pt idx="1">
                  <c:v>4956.87</c:v>
                </c:pt>
                <c:pt idx="2">
                  <c:v>4960.09</c:v>
                </c:pt>
                <c:pt idx="3">
                  <c:v>4963.21</c:v>
                </c:pt>
                <c:pt idx="4">
                  <c:v>4966.24</c:v>
                </c:pt>
                <c:pt idx="5">
                  <c:v>4969.1899999999996</c:v>
                </c:pt>
                <c:pt idx="6">
                  <c:v>4972.07</c:v>
                </c:pt>
                <c:pt idx="7">
                  <c:v>4974.88</c:v>
                </c:pt>
                <c:pt idx="8">
                  <c:v>4977.59</c:v>
                </c:pt>
                <c:pt idx="9">
                  <c:v>4980.2</c:v>
                </c:pt>
                <c:pt idx="10">
                  <c:v>4982.6899999999996</c:v>
                </c:pt>
                <c:pt idx="11">
                  <c:v>4985.04</c:v>
                </c:pt>
                <c:pt idx="12">
                  <c:v>4987.2299999999996</c:v>
                </c:pt>
                <c:pt idx="13">
                  <c:v>4989.2299999999996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0F-4950-9F9B-32CE07C99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938256"/>
        <c:axId val="1551939088"/>
      </c:scatterChart>
      <c:valAx>
        <c:axId val="1551938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t, hr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51939088"/>
        <c:crossesAt val="2920"/>
        <c:crossBetween val="midCat"/>
      </c:valAx>
      <c:valAx>
        <c:axId val="155193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Pwf, psia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51938256"/>
        <c:crossesAt val="-1.5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15875">
                <a:solidFill>
                  <a:schemeClr val="tx1"/>
                </a:solidFill>
              </a:ln>
              <a:effectLst/>
            </c:spPr>
          </c:marker>
          <c:xVal>
            <c:numRef>
              <c:f>Ejemplo!$D$12:$D$90</c:f>
              <c:numCache>
                <c:formatCode>General</c:formatCode>
                <c:ptCount val="79"/>
                <c:pt idx="1">
                  <c:v>1000001</c:v>
                </c:pt>
                <c:pt idx="2">
                  <c:v>769231.76923076925</c:v>
                </c:pt>
                <c:pt idx="3">
                  <c:v>555556.55555555562</c:v>
                </c:pt>
                <c:pt idx="4">
                  <c:v>434783.60869565216</c:v>
                </c:pt>
                <c:pt idx="5">
                  <c:v>322581.64516129036</c:v>
                </c:pt>
                <c:pt idx="6">
                  <c:v>243903.43902439022</c:v>
                </c:pt>
                <c:pt idx="7">
                  <c:v>185186.18518518517</c:v>
                </c:pt>
                <c:pt idx="8">
                  <c:v>138889.88888888891</c:v>
                </c:pt>
                <c:pt idx="9">
                  <c:v>105264.15789473684</c:v>
                </c:pt>
                <c:pt idx="10">
                  <c:v>79366.079365079364</c:v>
                </c:pt>
                <c:pt idx="11">
                  <c:v>59524.809523809527</c:v>
                </c:pt>
                <c:pt idx="12">
                  <c:v>45046.045045045044</c:v>
                </c:pt>
                <c:pt idx="13">
                  <c:v>33899.305084745763</c:v>
                </c:pt>
                <c:pt idx="14">
                  <c:v>25576.447570332479</c:v>
                </c:pt>
                <c:pt idx="15">
                  <c:v>19306.019305019305</c:v>
                </c:pt>
                <c:pt idx="16">
                  <c:v>14557.040756914121</c:v>
                </c:pt>
                <c:pt idx="17">
                  <c:v>10990.010989010989</c:v>
                </c:pt>
                <c:pt idx="18">
                  <c:v>8286.0041425020718</c:v>
                </c:pt>
                <c:pt idx="19">
                  <c:v>6251</c:v>
                </c:pt>
                <c:pt idx="20">
                  <c:v>4715.7571900047142</c:v>
                </c:pt>
                <c:pt idx="21">
                  <c:v>3557.1877667140825</c:v>
                </c:pt>
                <c:pt idx="22">
                  <c:v>2683.4034334763946</c:v>
                </c:pt>
                <c:pt idx="23">
                  <c:v>2024.4722784297855</c:v>
                </c:pt>
                <c:pt idx="24">
                  <c:v>1527.4845061822621</c:v>
                </c:pt>
                <c:pt idx="25">
                  <c:v>1152.4104778353483</c:v>
                </c:pt>
                <c:pt idx="26">
                  <c:v>869.50790342192113</c:v>
                </c:pt>
                <c:pt idx="27">
                  <c:v>656.13626834381546</c:v>
                </c:pt>
                <c:pt idx="28">
                  <c:v>495.16880806483493</c:v>
                </c:pt>
                <c:pt idx="29">
                  <c:v>373.75878778842207</c:v>
                </c:pt>
                <c:pt idx="30">
                  <c:v>282.17531280753548</c:v>
                </c:pt>
                <c:pt idx="31">
                  <c:v>213.09357568559247</c:v>
                </c:pt>
                <c:pt idx="32">
                  <c:v>160.98464147441845</c:v>
                </c:pt>
                <c:pt idx="33">
                  <c:v>121.67966788955395</c:v>
                </c:pt>
                <c:pt idx="34">
                  <c:v>92.02991242922424</c:v>
                </c:pt>
                <c:pt idx="35">
                  <c:v>69.664812716723318</c:v>
                </c:pt>
                <c:pt idx="36">
                  <c:v>52.794685865230235</c:v>
                </c:pt>
                <c:pt idx="37">
                  <c:v>40.069367662284378</c:v>
                </c:pt>
                <c:pt idx="38">
                  <c:v>30.470532414638601</c:v>
                </c:pt>
                <c:pt idx="39">
                  <c:v>23.229978014551747</c:v>
                </c:pt>
                <c:pt idx="40">
                  <c:v>17.768338693612268</c:v>
                </c:pt>
                <c:pt idx="41">
                  <c:v>13.648557305553728</c:v>
                </c:pt>
                <c:pt idx="42">
                  <c:v>10.540955984707756</c:v>
                </c:pt>
                <c:pt idx="43">
                  <c:v>8.196854111130941</c:v>
                </c:pt>
                <c:pt idx="44">
                  <c:v>6.4286753489281079</c:v>
                </c:pt>
                <c:pt idx="45">
                  <c:v>5.094915220922724</c:v>
                </c:pt>
                <c:pt idx="46">
                  <c:v>4.0888431602819253</c:v>
                </c:pt>
                <c:pt idx="47">
                  <c:v>3.3299519517308518</c:v>
                </c:pt>
                <c:pt idx="48">
                  <c:v>2.7575106338180899</c:v>
                </c:pt>
                <c:pt idx="49">
                  <c:v>2.3257113767247501</c:v>
                </c:pt>
                <c:pt idx="50">
                  <c:v>2</c:v>
                </c:pt>
              </c:numCache>
            </c:numRef>
          </c:xVal>
          <c:yVal>
            <c:numRef>
              <c:f>Ejemplo!$B$12:$B$90</c:f>
              <c:numCache>
                <c:formatCode>General</c:formatCode>
                <c:ptCount val="79"/>
                <c:pt idx="0">
                  <c:v>4404.84</c:v>
                </c:pt>
                <c:pt idx="1">
                  <c:v>4405.47</c:v>
                </c:pt>
                <c:pt idx="2">
                  <c:v>4405.67</c:v>
                </c:pt>
                <c:pt idx="3">
                  <c:v>4405.9399999999996</c:v>
                </c:pt>
                <c:pt idx="4">
                  <c:v>4406.3</c:v>
                </c:pt>
                <c:pt idx="5">
                  <c:v>4406.7700000000004</c:v>
                </c:pt>
                <c:pt idx="6">
                  <c:v>4407.3999999999996</c:v>
                </c:pt>
                <c:pt idx="7">
                  <c:v>4408.22</c:v>
                </c:pt>
                <c:pt idx="8">
                  <c:v>4409.32</c:v>
                </c:pt>
                <c:pt idx="9">
                  <c:v>4410.76</c:v>
                </c:pt>
                <c:pt idx="10">
                  <c:v>4412.67</c:v>
                </c:pt>
                <c:pt idx="11">
                  <c:v>4415.1899999999996</c:v>
                </c:pt>
                <c:pt idx="12">
                  <c:v>4418.51</c:v>
                </c:pt>
                <c:pt idx="13">
                  <c:v>4422.8599999999997</c:v>
                </c:pt>
                <c:pt idx="14">
                  <c:v>4428.57</c:v>
                </c:pt>
                <c:pt idx="15">
                  <c:v>4436.01</c:v>
                </c:pt>
                <c:pt idx="16">
                  <c:v>4445.67</c:v>
                </c:pt>
                <c:pt idx="17">
                  <c:v>4458.12</c:v>
                </c:pt>
                <c:pt idx="18">
                  <c:v>4474.05</c:v>
                </c:pt>
                <c:pt idx="19">
                  <c:v>4494.1899999999996</c:v>
                </c:pt>
                <c:pt idx="20">
                  <c:v>4519.29</c:v>
                </c:pt>
                <c:pt idx="21">
                  <c:v>4549.99</c:v>
                </c:pt>
                <c:pt idx="22">
                  <c:v>4586.6400000000003</c:v>
                </c:pt>
                <c:pt idx="23">
                  <c:v>4629.0600000000004</c:v>
                </c:pt>
                <c:pt idx="24">
                  <c:v>4676.3</c:v>
                </c:pt>
                <c:pt idx="25">
                  <c:v>4726.3999999999996</c:v>
                </c:pt>
                <c:pt idx="26">
                  <c:v>4776.4799999999996</c:v>
                </c:pt>
                <c:pt idx="27">
                  <c:v>4823.0600000000004</c:v>
                </c:pt>
                <c:pt idx="28">
                  <c:v>4862.92</c:v>
                </c:pt>
                <c:pt idx="29">
                  <c:v>4894</c:v>
                </c:pt>
                <c:pt idx="30">
                  <c:v>4916.03</c:v>
                </c:pt>
                <c:pt idx="31">
                  <c:v>4930.42</c:v>
                </c:pt>
                <c:pt idx="32">
                  <c:v>4939.46</c:v>
                </c:pt>
                <c:pt idx="33">
                  <c:v>4945.3999999999996</c:v>
                </c:pt>
                <c:pt idx="34">
                  <c:v>4949.78</c:v>
                </c:pt>
                <c:pt idx="35">
                  <c:v>4953.4799999999996</c:v>
                </c:pt>
                <c:pt idx="36">
                  <c:v>4956.87</c:v>
                </c:pt>
                <c:pt idx="37">
                  <c:v>4960.09</c:v>
                </c:pt>
                <c:pt idx="38">
                  <c:v>4963.21</c:v>
                </c:pt>
                <c:pt idx="39">
                  <c:v>4966.24</c:v>
                </c:pt>
                <c:pt idx="40">
                  <c:v>4969.1899999999996</c:v>
                </c:pt>
                <c:pt idx="41">
                  <c:v>4972.07</c:v>
                </c:pt>
                <c:pt idx="42">
                  <c:v>4974.88</c:v>
                </c:pt>
                <c:pt idx="43">
                  <c:v>4977.59</c:v>
                </c:pt>
                <c:pt idx="44">
                  <c:v>4980.2</c:v>
                </c:pt>
                <c:pt idx="45">
                  <c:v>4982.6899999999996</c:v>
                </c:pt>
                <c:pt idx="46">
                  <c:v>4985.04</c:v>
                </c:pt>
                <c:pt idx="47">
                  <c:v>4987.2299999999996</c:v>
                </c:pt>
                <c:pt idx="48">
                  <c:v>4989.2299999999996</c:v>
                </c:pt>
                <c:pt idx="49">
                  <c:v>4991.05</c:v>
                </c:pt>
                <c:pt idx="50">
                  <c:v>4992.6499999999996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63-4B32-919E-0DEA10438BB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Ejemplo!$D$47:$D$62</c:f>
              <c:numCache>
                <c:formatCode>General</c:formatCode>
                <c:ptCount val="16"/>
                <c:pt idx="0">
                  <c:v>69.664812716723318</c:v>
                </c:pt>
                <c:pt idx="1">
                  <c:v>52.794685865230235</c:v>
                </c:pt>
                <c:pt idx="2">
                  <c:v>40.069367662284378</c:v>
                </c:pt>
                <c:pt idx="3">
                  <c:v>30.470532414638601</c:v>
                </c:pt>
                <c:pt idx="4">
                  <c:v>23.229978014551747</c:v>
                </c:pt>
                <c:pt idx="5">
                  <c:v>17.768338693612268</c:v>
                </c:pt>
                <c:pt idx="6">
                  <c:v>13.648557305553728</c:v>
                </c:pt>
                <c:pt idx="7">
                  <c:v>10.540955984707756</c:v>
                </c:pt>
                <c:pt idx="8">
                  <c:v>8.196854111130941</c:v>
                </c:pt>
                <c:pt idx="9">
                  <c:v>6.4286753489281079</c:v>
                </c:pt>
                <c:pt idx="10">
                  <c:v>5.094915220922724</c:v>
                </c:pt>
                <c:pt idx="11">
                  <c:v>4.0888431602819253</c:v>
                </c:pt>
                <c:pt idx="12">
                  <c:v>3.3299519517308518</c:v>
                </c:pt>
                <c:pt idx="13">
                  <c:v>2.7575106338180899</c:v>
                </c:pt>
                <c:pt idx="14">
                  <c:v>2.3257113767247501</c:v>
                </c:pt>
                <c:pt idx="15">
                  <c:v>2</c:v>
                </c:pt>
              </c:numCache>
            </c:numRef>
          </c:xVal>
          <c:yVal>
            <c:numRef>
              <c:f>Ejemplo!$B$47:$B$62</c:f>
              <c:numCache>
                <c:formatCode>General</c:formatCode>
                <c:ptCount val="16"/>
                <c:pt idx="0">
                  <c:v>4953.4799999999996</c:v>
                </c:pt>
                <c:pt idx="1">
                  <c:v>4956.87</c:v>
                </c:pt>
                <c:pt idx="2">
                  <c:v>4960.09</c:v>
                </c:pt>
                <c:pt idx="3">
                  <c:v>4963.21</c:v>
                </c:pt>
                <c:pt idx="4">
                  <c:v>4966.24</c:v>
                </c:pt>
                <c:pt idx="5">
                  <c:v>4969.1899999999996</c:v>
                </c:pt>
                <c:pt idx="6">
                  <c:v>4972.07</c:v>
                </c:pt>
                <c:pt idx="7">
                  <c:v>4974.88</c:v>
                </c:pt>
                <c:pt idx="8">
                  <c:v>4977.59</c:v>
                </c:pt>
                <c:pt idx="9">
                  <c:v>4980.2</c:v>
                </c:pt>
                <c:pt idx="10">
                  <c:v>4982.6899999999996</c:v>
                </c:pt>
                <c:pt idx="11">
                  <c:v>4985.04</c:v>
                </c:pt>
                <c:pt idx="12">
                  <c:v>4987.2299999999996</c:v>
                </c:pt>
                <c:pt idx="13">
                  <c:v>4989.2299999999996</c:v>
                </c:pt>
                <c:pt idx="14">
                  <c:v>4991.05</c:v>
                </c:pt>
                <c:pt idx="15">
                  <c:v>4992.6499999999996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63-4B32-919E-0DEA10438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938256"/>
        <c:axId val="1551939088"/>
      </c:scatterChart>
      <c:valAx>
        <c:axId val="1551938256"/>
        <c:scaling>
          <c:logBase val="10"/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t, hr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51939088"/>
        <c:crossesAt val="2550"/>
        <c:crossBetween val="midCat"/>
      </c:valAx>
      <c:valAx>
        <c:axId val="155193908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Pwf, psia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51938256"/>
        <c:crossesAt val="1.0000000000000002E-3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567360726142371E-2"/>
          <c:y val="6.6504308642835575E-2"/>
          <c:w val="0.8033104205565591"/>
          <c:h val="0.7872814902561958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15875">
                <a:solidFill>
                  <a:schemeClr val="tx1"/>
                </a:solidFill>
              </a:ln>
              <a:effectLst/>
            </c:spPr>
          </c:marker>
          <c:trendline>
            <c:spPr>
              <a:ln w="2857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313651867934811"/>
                  <c:y val="-0.600599958191066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Ejemplo!$F$47:$F$62</c:f>
              <c:numCache>
                <c:formatCode>General</c:formatCode>
                <c:ptCount val="16"/>
                <c:pt idx="0">
                  <c:v>1.8430134739137314</c:v>
                </c:pt>
                <c:pt idx="1">
                  <c:v>1.7225902101179906</c:v>
                </c:pt>
                <c:pt idx="2">
                  <c:v>1.6028124888527775</c:v>
                </c:pt>
                <c:pt idx="3">
                  <c:v>1.4838800427595791</c:v>
                </c:pt>
                <c:pt idx="4">
                  <c:v>1.3660487987729699</c:v>
                </c:pt>
                <c:pt idx="5">
                  <c:v>1.2496468239828389</c:v>
                </c:pt>
                <c:pt idx="6">
                  <c:v>1.1350867475415898</c:v>
                </c:pt>
                <c:pt idx="7">
                  <c:v>1.0228799998761489</c:v>
                </c:pt>
                <c:pt idx="8">
                  <c:v>0.91364720551547995</c:v>
                </c:pt>
                <c:pt idx="9">
                  <c:v>0.80812149424350355</c:v>
                </c:pt>
                <c:pt idx="10">
                  <c:v>0.70713696176898622</c:v>
                </c:pt>
                <c:pt idx="11">
                  <c:v>0.61160045221966841</c:v>
                </c:pt>
                <c:pt idx="12">
                  <c:v>0.52243796706526813</c:v>
                </c:pt>
                <c:pt idx="13">
                  <c:v>0.44051719588996652</c:v>
                </c:pt>
                <c:pt idx="14">
                  <c:v>0.36655581732564224</c:v>
                </c:pt>
                <c:pt idx="15">
                  <c:v>0.3010299956639812</c:v>
                </c:pt>
              </c:numCache>
            </c:numRef>
          </c:xVal>
          <c:yVal>
            <c:numRef>
              <c:f>Ejemplo!$B$47:$B$62</c:f>
              <c:numCache>
                <c:formatCode>General</c:formatCode>
                <c:ptCount val="16"/>
                <c:pt idx="0">
                  <c:v>4953.4799999999996</c:v>
                </c:pt>
                <c:pt idx="1">
                  <c:v>4956.87</c:v>
                </c:pt>
                <c:pt idx="2">
                  <c:v>4960.09</c:v>
                </c:pt>
                <c:pt idx="3">
                  <c:v>4963.21</c:v>
                </c:pt>
                <c:pt idx="4">
                  <c:v>4966.24</c:v>
                </c:pt>
                <c:pt idx="5">
                  <c:v>4969.1899999999996</c:v>
                </c:pt>
                <c:pt idx="6">
                  <c:v>4972.07</c:v>
                </c:pt>
                <c:pt idx="7">
                  <c:v>4974.88</c:v>
                </c:pt>
                <c:pt idx="8">
                  <c:v>4977.59</c:v>
                </c:pt>
                <c:pt idx="9">
                  <c:v>4980.2</c:v>
                </c:pt>
                <c:pt idx="10">
                  <c:v>4982.6899999999996</c:v>
                </c:pt>
                <c:pt idx="11">
                  <c:v>4985.04</c:v>
                </c:pt>
                <c:pt idx="12">
                  <c:v>4987.2299999999996</c:v>
                </c:pt>
                <c:pt idx="13">
                  <c:v>4989.2299999999996</c:v>
                </c:pt>
                <c:pt idx="14">
                  <c:v>4991.05</c:v>
                </c:pt>
                <c:pt idx="15">
                  <c:v>4992.6499999999996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E6-4846-A395-827C58878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938256"/>
        <c:axId val="1551939088"/>
      </c:scatterChart>
      <c:valAx>
        <c:axId val="1551938256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t, hr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51939088"/>
        <c:crossesAt val="2920"/>
        <c:crossBetween val="midCat"/>
      </c:valAx>
      <c:valAx>
        <c:axId val="155193908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Pwf, psia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51938256"/>
        <c:crossesAt val="-1.5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15875">
                <a:solidFill>
                  <a:schemeClr val="tx1"/>
                </a:solidFill>
              </a:ln>
              <a:effectLst/>
            </c:spPr>
          </c:marker>
          <c:xVal>
            <c:numRef>
              <c:f>Ejemplo!$E$12:$E$90</c:f>
              <c:numCache>
                <c:formatCode>General</c:formatCode>
                <c:ptCount val="79"/>
                <c:pt idx="0">
                  <c:v>0</c:v>
                </c:pt>
                <c:pt idx="1">
                  <c:v>9.9999900000099996E-4</c:v>
                </c:pt>
                <c:pt idx="2">
                  <c:v>1.299998310002197E-3</c:v>
                </c:pt>
                <c:pt idx="3">
                  <c:v>1.799996760005832E-3</c:v>
                </c:pt>
                <c:pt idx="4">
                  <c:v>2.2999947100121668E-3</c:v>
                </c:pt>
                <c:pt idx="5">
                  <c:v>3.099990390029791E-3</c:v>
                </c:pt>
                <c:pt idx="6">
                  <c:v>4.0999831900689213E-3</c:v>
                </c:pt>
                <c:pt idx="7">
                  <c:v>5.3999708401574632E-3</c:v>
                </c:pt>
                <c:pt idx="8">
                  <c:v>7.1999481603732454E-3</c:v>
                </c:pt>
                <c:pt idx="9">
                  <c:v>9.4999097508573667E-3</c:v>
                </c:pt>
                <c:pt idx="10">
                  <c:v>1.2599841242000351E-2</c:v>
                </c:pt>
                <c:pt idx="11">
                  <c:v>1.6799717764741554E-2</c:v>
                </c:pt>
                <c:pt idx="12">
                  <c:v>2.2199507170940803E-2</c:v>
                </c:pt>
                <c:pt idx="13">
                  <c:v>2.949912977567162E-2</c:v>
                </c:pt>
                <c:pt idx="14">
                  <c:v>3.9098471249774135E-2</c:v>
                </c:pt>
                <c:pt idx="15">
                  <c:v>5.1797316898984633E-2</c:v>
                </c:pt>
                <c:pt idx="16">
                  <c:v>6.8695280634220424E-2</c:v>
                </c:pt>
                <c:pt idx="17">
                  <c:v>9.0991719753502426E-2</c:v>
                </c:pt>
                <c:pt idx="18">
                  <c:v>0.12068543326820452</c:v>
                </c:pt>
                <c:pt idx="19">
                  <c:v>0.15997440409534475</c:v>
                </c:pt>
                <c:pt idx="20">
                  <c:v>0.21205502312959423</c:v>
                </c:pt>
                <c:pt idx="21">
                  <c:v>0.28112094878920046</c:v>
                </c:pt>
                <c:pt idx="22">
                  <c:v>0.37266107195237619</c:v>
                </c:pt>
                <c:pt idx="23">
                  <c:v>0.4939558870006443</c:v>
                </c:pt>
                <c:pt idx="24">
                  <c:v>0.65467112494604796</c:v>
                </c:pt>
                <c:pt idx="25">
                  <c:v>0.86774636228435598</c:v>
                </c:pt>
                <c:pt idx="26">
                  <c:v>1.1500758027207474</c:v>
                </c:pt>
                <c:pt idx="27">
                  <c:v>1.5240736539745734</c:v>
                </c:pt>
                <c:pt idx="28">
                  <c:v>2.0195133128600964</c:v>
                </c:pt>
                <c:pt idx="29">
                  <c:v>2.6755223761215792</c:v>
                </c:pt>
                <c:pt idx="30">
                  <c:v>3.5438961334015571</c:v>
                </c:pt>
                <c:pt idx="31">
                  <c:v>4.6927740396803115</c:v>
                </c:pt>
                <c:pt idx="32">
                  <c:v>6.2117726936013762</c:v>
                </c:pt>
                <c:pt idx="33">
                  <c:v>8.218299879875401</c:v>
                </c:pt>
                <c:pt idx="34">
                  <c:v>10.866032288893587</c:v>
                </c:pt>
                <c:pt idx="35">
                  <c:v>14.354448982247046</c:v>
                </c:pt>
                <c:pt idx="36">
                  <c:v>18.941300314821735</c:v>
                </c:pt>
                <c:pt idx="37">
                  <c:v>24.956720266420827</c:v>
                </c:pt>
                <c:pt idx="38">
                  <c:v>32.818592940620292</c:v>
                </c:pt>
                <c:pt idx="39">
                  <c:v>43.047823780701769</c:v>
                </c:pt>
                <c:pt idx="40">
                  <c:v>56.279881717895265</c:v>
                </c:pt>
                <c:pt idx="41">
                  <c:v>73.267817074929255</c:v>
                </c:pt>
                <c:pt idx="42">
                  <c:v>94.868055748524654</c:v>
                </c:pt>
                <c:pt idx="43">
                  <c:v>121.99802344195038</c:v>
                </c:pt>
                <c:pt idx="44">
                  <c:v>155.55304098016649</c:v>
                </c:pt>
                <c:pt idx="45">
                  <c:v>196.27411971320166</c:v>
                </c:pt>
                <c:pt idx="46">
                  <c:v>244.56795254798919</c:v>
                </c:pt>
                <c:pt idx="47">
                  <c:v>300.3046333687239</c:v>
                </c:pt>
                <c:pt idx="48">
                  <c:v>362.64592699516999</c:v>
                </c:pt>
                <c:pt idx="49">
                  <c:v>429.9759677868019</c:v>
                </c:pt>
                <c:pt idx="50">
                  <c:v>500</c:v>
                </c:pt>
              </c:numCache>
            </c:numRef>
          </c:xVal>
          <c:yVal>
            <c:numRef>
              <c:f>Ejemplo!$B$12:$B$90</c:f>
              <c:numCache>
                <c:formatCode>General</c:formatCode>
                <c:ptCount val="79"/>
                <c:pt idx="0">
                  <c:v>4404.84</c:v>
                </c:pt>
                <c:pt idx="1">
                  <c:v>4405.47</c:v>
                </c:pt>
                <c:pt idx="2">
                  <c:v>4405.67</c:v>
                </c:pt>
                <c:pt idx="3">
                  <c:v>4405.9399999999996</c:v>
                </c:pt>
                <c:pt idx="4">
                  <c:v>4406.3</c:v>
                </c:pt>
                <c:pt idx="5">
                  <c:v>4406.7700000000004</c:v>
                </c:pt>
                <c:pt idx="6">
                  <c:v>4407.3999999999996</c:v>
                </c:pt>
                <c:pt idx="7">
                  <c:v>4408.22</c:v>
                </c:pt>
                <c:pt idx="8">
                  <c:v>4409.32</c:v>
                </c:pt>
                <c:pt idx="9">
                  <c:v>4410.76</c:v>
                </c:pt>
                <c:pt idx="10">
                  <c:v>4412.67</c:v>
                </c:pt>
                <c:pt idx="11">
                  <c:v>4415.1899999999996</c:v>
                </c:pt>
                <c:pt idx="12">
                  <c:v>4418.51</c:v>
                </c:pt>
                <c:pt idx="13">
                  <c:v>4422.8599999999997</c:v>
                </c:pt>
                <c:pt idx="14">
                  <c:v>4428.57</c:v>
                </c:pt>
                <c:pt idx="15">
                  <c:v>4436.01</c:v>
                </c:pt>
                <c:pt idx="16">
                  <c:v>4445.67</c:v>
                </c:pt>
                <c:pt idx="17">
                  <c:v>4458.12</c:v>
                </c:pt>
                <c:pt idx="18">
                  <c:v>4474.05</c:v>
                </c:pt>
                <c:pt idx="19">
                  <c:v>4494.1899999999996</c:v>
                </c:pt>
                <c:pt idx="20">
                  <c:v>4519.29</c:v>
                </c:pt>
                <c:pt idx="21">
                  <c:v>4549.99</c:v>
                </c:pt>
                <c:pt idx="22">
                  <c:v>4586.6400000000003</c:v>
                </c:pt>
                <c:pt idx="23">
                  <c:v>4629.0600000000004</c:v>
                </c:pt>
                <c:pt idx="24">
                  <c:v>4676.3</c:v>
                </c:pt>
                <c:pt idx="25">
                  <c:v>4726.3999999999996</c:v>
                </c:pt>
                <c:pt idx="26">
                  <c:v>4776.4799999999996</c:v>
                </c:pt>
                <c:pt idx="27">
                  <c:v>4823.0600000000004</c:v>
                </c:pt>
                <c:pt idx="28">
                  <c:v>4862.92</c:v>
                </c:pt>
                <c:pt idx="29">
                  <c:v>4894</c:v>
                </c:pt>
                <c:pt idx="30">
                  <c:v>4916.03</c:v>
                </c:pt>
                <c:pt idx="31">
                  <c:v>4930.42</c:v>
                </c:pt>
                <c:pt idx="32">
                  <c:v>4939.46</c:v>
                </c:pt>
                <c:pt idx="33">
                  <c:v>4945.3999999999996</c:v>
                </c:pt>
                <c:pt idx="34">
                  <c:v>4949.78</c:v>
                </c:pt>
                <c:pt idx="35">
                  <c:v>4953.4799999999996</c:v>
                </c:pt>
                <c:pt idx="36">
                  <c:v>4956.87</c:v>
                </c:pt>
                <c:pt idx="37">
                  <c:v>4960.09</c:v>
                </c:pt>
                <c:pt idx="38">
                  <c:v>4963.21</c:v>
                </c:pt>
                <c:pt idx="39">
                  <c:v>4966.24</c:v>
                </c:pt>
                <c:pt idx="40">
                  <c:v>4969.1899999999996</c:v>
                </c:pt>
                <c:pt idx="41">
                  <c:v>4972.07</c:v>
                </c:pt>
                <c:pt idx="42">
                  <c:v>4974.88</c:v>
                </c:pt>
                <c:pt idx="43">
                  <c:v>4977.59</c:v>
                </c:pt>
                <c:pt idx="44">
                  <c:v>4980.2</c:v>
                </c:pt>
                <c:pt idx="45">
                  <c:v>4982.6899999999996</c:v>
                </c:pt>
                <c:pt idx="46">
                  <c:v>4985.04</c:v>
                </c:pt>
                <c:pt idx="47">
                  <c:v>4987.2299999999996</c:v>
                </c:pt>
                <c:pt idx="48">
                  <c:v>4989.2299999999996</c:v>
                </c:pt>
                <c:pt idx="49">
                  <c:v>4991.05</c:v>
                </c:pt>
                <c:pt idx="50">
                  <c:v>4992.6499999999996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57-41EE-90AE-7E94AEE4E34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Ejemplo!$E$47:$E$62</c:f>
              <c:numCache>
                <c:formatCode>General</c:formatCode>
                <c:ptCount val="16"/>
                <c:pt idx="0">
                  <c:v>14.354448982247046</c:v>
                </c:pt>
                <c:pt idx="1">
                  <c:v>18.941300314821735</c:v>
                </c:pt>
                <c:pt idx="2">
                  <c:v>24.956720266420827</c:v>
                </c:pt>
                <c:pt idx="3">
                  <c:v>32.818592940620292</c:v>
                </c:pt>
                <c:pt idx="4">
                  <c:v>43.047823780701769</c:v>
                </c:pt>
                <c:pt idx="5">
                  <c:v>56.279881717895265</c:v>
                </c:pt>
                <c:pt idx="6">
                  <c:v>73.267817074929255</c:v>
                </c:pt>
                <c:pt idx="7">
                  <c:v>94.868055748524654</c:v>
                </c:pt>
                <c:pt idx="8">
                  <c:v>121.99802344195038</c:v>
                </c:pt>
                <c:pt idx="9">
                  <c:v>155.55304098016649</c:v>
                </c:pt>
                <c:pt idx="10">
                  <c:v>196.27411971320166</c:v>
                </c:pt>
                <c:pt idx="11">
                  <c:v>244.56795254798919</c:v>
                </c:pt>
                <c:pt idx="12">
                  <c:v>300.3046333687239</c:v>
                </c:pt>
                <c:pt idx="13">
                  <c:v>362.64592699516999</c:v>
                </c:pt>
                <c:pt idx="14">
                  <c:v>429.9759677868019</c:v>
                </c:pt>
                <c:pt idx="15">
                  <c:v>500</c:v>
                </c:pt>
              </c:numCache>
            </c:numRef>
          </c:xVal>
          <c:yVal>
            <c:numRef>
              <c:f>Ejemplo!$B$47:$B$62</c:f>
              <c:numCache>
                <c:formatCode>General</c:formatCode>
                <c:ptCount val="16"/>
                <c:pt idx="0">
                  <c:v>4953.4799999999996</c:v>
                </c:pt>
                <c:pt idx="1">
                  <c:v>4956.87</c:v>
                </c:pt>
                <c:pt idx="2">
                  <c:v>4960.09</c:v>
                </c:pt>
                <c:pt idx="3">
                  <c:v>4963.21</c:v>
                </c:pt>
                <c:pt idx="4">
                  <c:v>4966.24</c:v>
                </c:pt>
                <c:pt idx="5">
                  <c:v>4969.1899999999996</c:v>
                </c:pt>
                <c:pt idx="6">
                  <c:v>4972.07</c:v>
                </c:pt>
                <c:pt idx="7">
                  <c:v>4974.88</c:v>
                </c:pt>
                <c:pt idx="8">
                  <c:v>4977.59</c:v>
                </c:pt>
                <c:pt idx="9">
                  <c:v>4980.2</c:v>
                </c:pt>
                <c:pt idx="10">
                  <c:v>4982.6899999999996</c:v>
                </c:pt>
                <c:pt idx="11">
                  <c:v>4985.04</c:v>
                </c:pt>
                <c:pt idx="12">
                  <c:v>4987.2299999999996</c:v>
                </c:pt>
                <c:pt idx="13">
                  <c:v>4989.2299999999996</c:v>
                </c:pt>
                <c:pt idx="14">
                  <c:v>4991.05</c:v>
                </c:pt>
                <c:pt idx="15">
                  <c:v>4992.6499999999996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57-41EE-90AE-7E94AEE4E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938256"/>
        <c:axId val="1551939088"/>
      </c:scatterChart>
      <c:valAx>
        <c:axId val="1551938256"/>
        <c:scaling>
          <c:logBase val="10"/>
          <c:orientation val="minMax"/>
          <c:min val="1.0000000000000002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t, hr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51939088"/>
        <c:crossesAt val="2550"/>
        <c:crossBetween val="midCat"/>
      </c:valAx>
      <c:valAx>
        <c:axId val="155193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Pwf, psia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51938256"/>
        <c:crossesAt val="1.0000000000000002E-3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75977669493115"/>
          <c:y val="5.7654751120711681E-2"/>
          <c:w val="0.8033104205565591"/>
          <c:h val="0.7872814902561958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15875">
                <a:solidFill>
                  <a:schemeClr val="tx1"/>
                </a:solidFill>
              </a:ln>
              <a:effectLst/>
            </c:spPr>
          </c:marker>
          <c:trendline>
            <c:spPr>
              <a:ln w="2857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0490304539798422E-2"/>
                  <c:y val="0.5057670777878429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Ejemplo!$G$47:$G$62</c:f>
              <c:numCache>
                <c:formatCode>General</c:formatCode>
                <c:ptCount val="16"/>
                <c:pt idx="0">
                  <c:v>1.1569865260862686</c:v>
                </c:pt>
                <c:pt idx="1">
                  <c:v>1.2774097898820094</c:v>
                </c:pt>
                <c:pt idx="2">
                  <c:v>1.3971875111472225</c:v>
                </c:pt>
                <c:pt idx="3">
                  <c:v>1.5161199572404209</c:v>
                </c:pt>
                <c:pt idx="4">
                  <c:v>1.6339512012270301</c:v>
                </c:pt>
                <c:pt idx="5">
                  <c:v>1.7503531760171613</c:v>
                </c:pt>
                <c:pt idx="6">
                  <c:v>1.8649132524584102</c:v>
                </c:pt>
                <c:pt idx="7">
                  <c:v>1.9771200001238511</c:v>
                </c:pt>
                <c:pt idx="8">
                  <c:v>2.0863527944845202</c:v>
                </c:pt>
                <c:pt idx="9">
                  <c:v>2.1918785057564967</c:v>
                </c:pt>
                <c:pt idx="10">
                  <c:v>2.292863038231014</c:v>
                </c:pt>
                <c:pt idx="11">
                  <c:v>2.3883995477803315</c:v>
                </c:pt>
                <c:pt idx="12">
                  <c:v>2.4775620329347317</c:v>
                </c:pt>
                <c:pt idx="13">
                  <c:v>2.5594828041100333</c:v>
                </c:pt>
                <c:pt idx="14">
                  <c:v>2.6334441826743578</c:v>
                </c:pt>
                <c:pt idx="15">
                  <c:v>2.6989700043360187</c:v>
                </c:pt>
              </c:numCache>
            </c:numRef>
          </c:xVal>
          <c:yVal>
            <c:numRef>
              <c:f>Ejemplo!$B$47:$B$62</c:f>
              <c:numCache>
                <c:formatCode>General</c:formatCode>
                <c:ptCount val="16"/>
                <c:pt idx="0">
                  <c:v>4953.4799999999996</c:v>
                </c:pt>
                <c:pt idx="1">
                  <c:v>4956.87</c:v>
                </c:pt>
                <c:pt idx="2">
                  <c:v>4960.09</c:v>
                </c:pt>
                <c:pt idx="3">
                  <c:v>4963.21</c:v>
                </c:pt>
                <c:pt idx="4">
                  <c:v>4966.24</c:v>
                </c:pt>
                <c:pt idx="5">
                  <c:v>4969.1899999999996</c:v>
                </c:pt>
                <c:pt idx="6">
                  <c:v>4972.07</c:v>
                </c:pt>
                <c:pt idx="7">
                  <c:v>4974.88</c:v>
                </c:pt>
                <c:pt idx="8">
                  <c:v>4977.59</c:v>
                </c:pt>
                <c:pt idx="9">
                  <c:v>4980.2</c:v>
                </c:pt>
                <c:pt idx="10">
                  <c:v>4982.6899999999996</c:v>
                </c:pt>
                <c:pt idx="11">
                  <c:v>4985.04</c:v>
                </c:pt>
                <c:pt idx="12">
                  <c:v>4987.2299999999996</c:v>
                </c:pt>
                <c:pt idx="13">
                  <c:v>4989.2299999999996</c:v>
                </c:pt>
                <c:pt idx="14">
                  <c:v>4991.05</c:v>
                </c:pt>
                <c:pt idx="15">
                  <c:v>4992.6499999999996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00-4A9D-A849-E0E234021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938256"/>
        <c:axId val="1551939088"/>
      </c:scatterChart>
      <c:valAx>
        <c:axId val="1551938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t, hr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51939088"/>
        <c:crossesAt val="2920"/>
        <c:crossBetween val="midCat"/>
      </c:valAx>
      <c:valAx>
        <c:axId val="155193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Pwf, psia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51938256"/>
        <c:crossesAt val="-1.5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7.png"/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12" Type="http://schemas.openxmlformats.org/officeDocument/2006/relationships/image" Target="../media/image6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11" Type="http://schemas.openxmlformats.org/officeDocument/2006/relationships/image" Target="../media/image5.png"/><Relationship Id="rId5" Type="http://schemas.openxmlformats.org/officeDocument/2006/relationships/image" Target="../media/image1.png"/><Relationship Id="rId10" Type="http://schemas.openxmlformats.org/officeDocument/2006/relationships/chart" Target="../charts/chart6.xml"/><Relationship Id="rId4" Type="http://schemas.openxmlformats.org/officeDocument/2006/relationships/chart" Target="../charts/chart4.xml"/><Relationship Id="rId9" Type="http://schemas.openxmlformats.org/officeDocument/2006/relationships/chart" Target="../charts/chart5.xml"/><Relationship Id="rId1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318806</xdr:colOff>
      <xdr:row>3</xdr:row>
      <xdr:rowOff>179294</xdr:rowOff>
    </xdr:from>
    <xdr:to>
      <xdr:col>21</xdr:col>
      <xdr:colOff>280708</xdr:colOff>
      <xdr:row>26</xdr:row>
      <xdr:rowOff>103094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4785C4A-88C1-4131-838C-D9C6FB82CE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331693</xdr:colOff>
      <xdr:row>27</xdr:row>
      <xdr:rowOff>80682</xdr:rowOff>
    </xdr:from>
    <xdr:to>
      <xdr:col>21</xdr:col>
      <xdr:colOff>293595</xdr:colOff>
      <xdr:row>50</xdr:row>
      <xdr:rowOff>4482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02FAD29-368D-46F1-8937-B062962FDC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19610</xdr:colOff>
      <xdr:row>7</xdr:row>
      <xdr:rowOff>36419</xdr:rowOff>
    </xdr:from>
    <xdr:to>
      <xdr:col>21</xdr:col>
      <xdr:colOff>561</xdr:colOff>
      <xdr:row>9</xdr:row>
      <xdr:rowOff>131669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D3FCB504-6C30-4B7E-B599-A15B84345AB6}"/>
            </a:ext>
          </a:extLst>
        </xdr:cNvPr>
        <xdr:cNvCxnSpPr/>
      </xdr:nvCxnSpPr>
      <xdr:spPr>
        <a:xfrm flipV="1">
          <a:off x="11091022" y="1448360"/>
          <a:ext cx="4216774" cy="47625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240365</xdr:colOff>
      <xdr:row>3</xdr:row>
      <xdr:rowOff>112058</xdr:rowOff>
    </xdr:from>
    <xdr:to>
      <xdr:col>35</xdr:col>
      <xdr:colOff>202267</xdr:colOff>
      <xdr:row>26</xdr:row>
      <xdr:rowOff>35858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36A8F52-E229-4CC0-AF09-DFF9661127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561975</xdr:colOff>
      <xdr:row>6</xdr:row>
      <xdr:rowOff>152401</xdr:rowOff>
    </xdr:from>
    <xdr:to>
      <xdr:col>33</xdr:col>
      <xdr:colOff>400050</xdr:colOff>
      <xdr:row>10</xdr:row>
      <xdr:rowOff>19050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2FF9C6D6-36C5-44A2-A3BA-6073E860C591}"/>
            </a:ext>
          </a:extLst>
        </xdr:cNvPr>
        <xdr:cNvCxnSpPr/>
      </xdr:nvCxnSpPr>
      <xdr:spPr>
        <a:xfrm flipV="1">
          <a:off x="19450050" y="1371601"/>
          <a:ext cx="4105275" cy="638174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-1</xdr:colOff>
      <xdr:row>26</xdr:row>
      <xdr:rowOff>149679</xdr:rowOff>
    </xdr:from>
    <xdr:to>
      <xdr:col>34</xdr:col>
      <xdr:colOff>397330</xdr:colOff>
      <xdr:row>49</xdr:row>
      <xdr:rowOff>73479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3DDC953-E737-4226-87C9-72D3F9B00C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25</xdr:col>
      <xdr:colOff>609600</xdr:colOff>
      <xdr:row>51</xdr:row>
      <xdr:rowOff>129268</xdr:rowOff>
    </xdr:from>
    <xdr:to>
      <xdr:col>28</xdr:col>
      <xdr:colOff>518432</xdr:colOff>
      <xdr:row>55</xdr:row>
      <xdr:rowOff>43543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F212A71-1074-41A6-85FC-823EF0DDA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7100" y="9930493"/>
          <a:ext cx="1918607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578303</xdr:colOff>
      <xdr:row>56</xdr:row>
      <xdr:rowOff>95250</xdr:rowOff>
    </xdr:from>
    <xdr:to>
      <xdr:col>33</xdr:col>
      <xdr:colOff>153761</xdr:colOff>
      <xdr:row>60</xdr:row>
      <xdr:rowOff>161925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E8D7B8B-A470-4B35-8919-BE9718E8E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75803" y="10848975"/>
          <a:ext cx="4633233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421821</xdr:colOff>
      <xdr:row>52</xdr:row>
      <xdr:rowOff>13607</xdr:rowOff>
    </xdr:from>
    <xdr:to>
      <xdr:col>14</xdr:col>
      <xdr:colOff>420865</xdr:colOff>
      <xdr:row>55</xdr:row>
      <xdr:rowOff>163286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4770E66-A21A-4C05-8DFD-9D7754AF9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99171" y="10005332"/>
          <a:ext cx="1827844" cy="721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548291</xdr:colOff>
      <xdr:row>57</xdr:row>
      <xdr:rowOff>125666</xdr:rowOff>
    </xdr:from>
    <xdr:to>
      <xdr:col>21</xdr:col>
      <xdr:colOff>392974</xdr:colOff>
      <xdr:row>62</xdr:row>
      <xdr:rowOff>180095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3666CC7-6129-4193-82AB-A8C148A17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5641" y="11069891"/>
          <a:ext cx="5940683" cy="1006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40</xdr:col>
      <xdr:colOff>28094</xdr:colOff>
      <xdr:row>2</xdr:row>
      <xdr:rowOff>180975</xdr:rowOff>
    </xdr:from>
    <xdr:to>
      <xdr:col>50</xdr:col>
      <xdr:colOff>166889</xdr:colOff>
      <xdr:row>25</xdr:row>
      <xdr:rowOff>104775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8A5291C-330A-45AA-9720-9161316248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40</xdr:col>
      <xdr:colOff>0</xdr:colOff>
      <xdr:row>26</xdr:row>
      <xdr:rowOff>37621</xdr:rowOff>
    </xdr:from>
    <xdr:to>
      <xdr:col>49</xdr:col>
      <xdr:colOff>574223</xdr:colOff>
      <xdr:row>48</xdr:row>
      <xdr:rowOff>151921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23B6FD2A-2265-4201-AB1F-FFCD29B147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40</xdr:col>
      <xdr:colOff>409451</xdr:colOff>
      <xdr:row>50</xdr:row>
      <xdr:rowOff>68035</xdr:rowOff>
    </xdr:from>
    <xdr:to>
      <xdr:col>43</xdr:col>
      <xdr:colOff>260515</xdr:colOff>
      <xdr:row>54</xdr:row>
      <xdr:rowOff>1360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5E2232B-52A8-4A45-B512-ACF9E934F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03401" y="9678760"/>
          <a:ext cx="1679864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444087</xdr:colOff>
      <xdr:row>55</xdr:row>
      <xdr:rowOff>189263</xdr:rowOff>
    </xdr:from>
    <xdr:to>
      <xdr:col>48</xdr:col>
      <xdr:colOff>218951</xdr:colOff>
      <xdr:row>61</xdr:row>
      <xdr:rowOff>17813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B431FC21-C9BD-4E50-A713-C9C4B6C25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38037" y="10752488"/>
          <a:ext cx="4651664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340179</xdr:colOff>
      <xdr:row>63</xdr:row>
      <xdr:rowOff>137308</xdr:rowOff>
    </xdr:from>
    <xdr:to>
      <xdr:col>44</xdr:col>
      <xdr:colOff>204107</xdr:colOff>
      <xdr:row>70</xdr:row>
      <xdr:rowOff>59446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45D7F522-EAB1-4832-BB4A-3B2D3F345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34129" y="12224533"/>
          <a:ext cx="2302328" cy="1255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557893</xdr:colOff>
      <xdr:row>62</xdr:row>
      <xdr:rowOff>68037</xdr:rowOff>
    </xdr:from>
    <xdr:to>
      <xdr:col>27</xdr:col>
      <xdr:colOff>557893</xdr:colOff>
      <xdr:row>68</xdr:row>
      <xdr:rowOff>141335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CFB1933D-A839-4574-BF17-2B8D4D689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8655393" y="11964762"/>
          <a:ext cx="1400175" cy="1216298"/>
        </a:xfrm>
        <a:prstGeom prst="rect">
          <a:avLst/>
        </a:prstGeom>
      </xdr:spPr>
    </xdr:pic>
    <xdr:clientData/>
  </xdr:twoCellAnchor>
  <xdr:twoCellAnchor>
    <xdr:from>
      <xdr:col>42</xdr:col>
      <xdr:colOff>142875</xdr:colOff>
      <xdr:row>6</xdr:row>
      <xdr:rowOff>19051</xdr:rowOff>
    </xdr:from>
    <xdr:to>
      <xdr:col>49</xdr:col>
      <xdr:colOff>390525</xdr:colOff>
      <xdr:row>9</xdr:row>
      <xdr:rowOff>0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D37B03AC-8AD2-4620-8354-0F631F658F3B}"/>
            </a:ext>
          </a:extLst>
        </xdr:cNvPr>
        <xdr:cNvCxnSpPr/>
      </xdr:nvCxnSpPr>
      <xdr:spPr>
        <a:xfrm flipV="1">
          <a:off x="29156025" y="1238251"/>
          <a:ext cx="4514850" cy="552449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5C290-AC2A-411C-86A6-836D00FE7207}">
  <dimension ref="A1:AS62"/>
  <sheetViews>
    <sheetView tabSelected="1" zoomScale="70" zoomScaleNormal="70" workbookViewId="0">
      <pane xSplit="8" topLeftCell="R1" activePane="topRight" state="frozen"/>
      <selection pane="topRight" activeCell="Y13" sqref="Y13"/>
    </sheetView>
  </sheetViews>
  <sheetFormatPr baseColWidth="10" defaultColWidth="9.140625" defaultRowHeight="15" x14ac:dyDescent="0.25"/>
  <cols>
    <col min="1" max="1" width="10.42578125" customWidth="1"/>
    <col min="2" max="2" width="11.42578125" customWidth="1"/>
    <col min="4" max="4" width="12.28515625" customWidth="1"/>
    <col min="5" max="5" width="20.7109375" customWidth="1"/>
    <col min="6" max="7" width="19.28515625" customWidth="1"/>
    <col min="14" max="14" width="9.140625" customWidth="1"/>
    <col min="24" max="24" width="10.7109375" customWidth="1"/>
    <col min="25" max="26" width="11.85546875" customWidth="1"/>
    <col min="29" max="29" width="9.140625" customWidth="1"/>
    <col min="37" max="37" width="11.85546875" customWidth="1"/>
    <col min="38" max="38" width="12" customWidth="1"/>
  </cols>
  <sheetData>
    <row r="1" spans="1:45" x14ac:dyDescent="0.25">
      <c r="A1" s="9" t="s">
        <v>20</v>
      </c>
      <c r="B1" s="9"/>
      <c r="C1" s="9"/>
      <c r="D1" s="6"/>
      <c r="E1" s="6"/>
      <c r="F1" s="6"/>
      <c r="G1" s="6"/>
    </row>
    <row r="2" spans="1:45" ht="21" x14ac:dyDescent="0.35">
      <c r="A2" s="4" t="s">
        <v>1</v>
      </c>
      <c r="B2" s="2">
        <v>150</v>
      </c>
      <c r="C2" s="2" t="s">
        <v>2</v>
      </c>
      <c r="N2" s="10" t="s">
        <v>26</v>
      </c>
      <c r="O2" s="10"/>
      <c r="AB2" s="11" t="s">
        <v>27</v>
      </c>
      <c r="AC2" s="11"/>
      <c r="AD2" s="11"/>
      <c r="AM2" s="11" t="s">
        <v>30</v>
      </c>
      <c r="AN2" s="11"/>
      <c r="AO2" s="11"/>
      <c r="AP2" s="11"/>
      <c r="AQ2" s="11"/>
      <c r="AR2" s="11"/>
      <c r="AS2" s="11"/>
    </row>
    <row r="3" spans="1:45" x14ac:dyDescent="0.25">
      <c r="A3" s="4" t="s">
        <v>3</v>
      </c>
      <c r="B3" s="2">
        <v>50</v>
      </c>
      <c r="C3" s="2" t="s">
        <v>4</v>
      </c>
    </row>
    <row r="4" spans="1:45" x14ac:dyDescent="0.25">
      <c r="A4" s="5" t="s">
        <v>10</v>
      </c>
      <c r="B4" s="2">
        <v>0.2</v>
      </c>
      <c r="C4" s="2" t="s">
        <v>11</v>
      </c>
    </row>
    <row r="5" spans="1:45" x14ac:dyDescent="0.25">
      <c r="A5" s="4" t="s">
        <v>9</v>
      </c>
      <c r="B5" s="2">
        <v>1.5</v>
      </c>
      <c r="C5" s="2" t="s">
        <v>12</v>
      </c>
    </row>
    <row r="6" spans="1:45" x14ac:dyDescent="0.25">
      <c r="A6" s="4" t="s">
        <v>21</v>
      </c>
      <c r="B6" s="2">
        <v>1000</v>
      </c>
      <c r="C6" s="2" t="s">
        <v>22</v>
      </c>
    </row>
    <row r="7" spans="1:45" x14ac:dyDescent="0.25">
      <c r="A7" s="4" t="s">
        <v>8</v>
      </c>
      <c r="B7" s="2">
        <v>5.0000000000000002E-5</v>
      </c>
      <c r="C7" s="2" t="s">
        <v>13</v>
      </c>
    </row>
    <row r="8" spans="1:45" x14ac:dyDescent="0.25">
      <c r="A8" s="4" t="s">
        <v>7</v>
      </c>
      <c r="B8" s="2">
        <v>0.33</v>
      </c>
      <c r="C8" s="2" t="s">
        <v>4</v>
      </c>
    </row>
    <row r="9" spans="1:45" x14ac:dyDescent="0.25">
      <c r="A9" s="5" t="s">
        <v>6</v>
      </c>
      <c r="B9" s="2">
        <v>0.5</v>
      </c>
      <c r="C9" s="2" t="s">
        <v>5</v>
      </c>
    </row>
    <row r="10" spans="1:45" ht="15.75" customHeight="1" x14ac:dyDescent="0.25">
      <c r="I10" s="9" t="s">
        <v>23</v>
      </c>
      <c r="J10" s="9"/>
      <c r="X10" s="9" t="s">
        <v>28</v>
      </c>
      <c r="Y10" s="9"/>
      <c r="AK10" s="9" t="s">
        <v>33</v>
      </c>
      <c r="AL10" s="9"/>
    </row>
    <row r="11" spans="1:45" x14ac:dyDescent="0.25">
      <c r="A11" s="7" t="s">
        <v>25</v>
      </c>
      <c r="B11" s="7" t="s">
        <v>0</v>
      </c>
      <c r="C11" s="7" t="s">
        <v>14</v>
      </c>
      <c r="D11" s="7" t="s">
        <v>24</v>
      </c>
      <c r="E11" s="7" t="s">
        <v>31</v>
      </c>
      <c r="F11" s="7" t="s">
        <v>29</v>
      </c>
      <c r="G11" s="7" t="s">
        <v>32</v>
      </c>
      <c r="I11" s="9" t="s">
        <v>19</v>
      </c>
      <c r="J11" s="9"/>
      <c r="X11" s="9" t="s">
        <v>19</v>
      </c>
      <c r="Y11" s="9"/>
      <c r="AK11" s="9" t="s">
        <v>19</v>
      </c>
      <c r="AL11" s="9"/>
    </row>
    <row r="12" spans="1:45" x14ac:dyDescent="0.25">
      <c r="A12" s="8">
        <v>0</v>
      </c>
      <c r="B12" s="8">
        <v>4404.84</v>
      </c>
      <c r="E12">
        <f>($B$6*A12)/($B$6+A12)</f>
        <v>0</v>
      </c>
      <c r="I12" s="3" t="s">
        <v>18</v>
      </c>
      <c r="J12" s="2">
        <f>22.569*LOG10(1)+4928.5</f>
        <v>4928.5</v>
      </c>
      <c r="X12" s="3" t="s">
        <v>18</v>
      </c>
      <c r="Y12" s="2">
        <f>-25.203*LOG10((B6+1)/1)+5000.5</f>
        <v>4924.8800599452888</v>
      </c>
      <c r="AK12" s="3" t="s">
        <v>18</v>
      </c>
      <c r="AL12" s="2">
        <f>25.203*LOG10(1)+4924.9</f>
        <v>4924.8999999999996</v>
      </c>
    </row>
    <row r="13" spans="1:45" x14ac:dyDescent="0.25">
      <c r="A13" s="8">
        <v>1E-3</v>
      </c>
      <c r="B13" s="8">
        <v>4405.47</v>
      </c>
      <c r="C13">
        <f t="shared" ref="C13:C62" si="0">LOG(A13)</f>
        <v>-3</v>
      </c>
      <c r="D13">
        <f>($B$6+A13)/A13</f>
        <v>1000001</v>
      </c>
      <c r="E13">
        <f>($B$6*A13)/($B$6+A13)</f>
        <v>9.9999900000099996E-4</v>
      </c>
      <c r="F13">
        <f t="shared" ref="F13:G62" si="1">LOG10(D13)</f>
        <v>6.0000004342942646</v>
      </c>
      <c r="G13">
        <f>LOG10(E13)</f>
        <v>-3.0000004342942646</v>
      </c>
      <c r="I13" s="3" t="s">
        <v>15</v>
      </c>
      <c r="J13" s="2">
        <v>22.568999999999999</v>
      </c>
      <c r="X13" s="3" t="s">
        <v>15</v>
      </c>
      <c r="Y13" s="2">
        <v>25.202999999999999</v>
      </c>
      <c r="AK13" s="3" t="s">
        <v>15</v>
      </c>
      <c r="AL13" s="2">
        <v>25.202999999999999</v>
      </c>
    </row>
    <row r="14" spans="1:45" x14ac:dyDescent="0.25">
      <c r="A14" s="8">
        <v>1.2999999999999999E-3</v>
      </c>
      <c r="B14" s="8">
        <v>4405.67</v>
      </c>
      <c r="C14">
        <f t="shared" si="0"/>
        <v>-2.8860566476931631</v>
      </c>
      <c r="D14">
        <f t="shared" ref="D14:D62" si="2">($B$6+A14)/A14</f>
        <v>769231.76923076925</v>
      </c>
      <c r="E14">
        <f t="shared" ref="E14:E62" si="3">($B$6*A14)/($B$6+A14)</f>
        <v>1.299998310002197E-3</v>
      </c>
      <c r="F14">
        <f t="shared" si="1"/>
        <v>5.886057212275623</v>
      </c>
      <c r="G14">
        <f t="shared" si="1"/>
        <v>-2.8860572122756225</v>
      </c>
      <c r="I14" s="3" t="s">
        <v>16</v>
      </c>
      <c r="J14" s="2">
        <f>162.6*B2*B5*B9/(J13*B3)</f>
        <v>16.210288448757144</v>
      </c>
      <c r="X14" s="3" t="s">
        <v>16</v>
      </c>
      <c r="Y14" s="2">
        <f>162.6*B2*B5*B9/(Y13*B3)</f>
        <v>14.516129032258066</v>
      </c>
      <c r="AK14" s="3" t="s">
        <v>16</v>
      </c>
      <c r="AL14" s="2">
        <f>162.6*B2*B5*B9/(AL13*B3)</f>
        <v>14.516129032258066</v>
      </c>
    </row>
    <row r="15" spans="1:45" x14ac:dyDescent="0.25">
      <c r="A15" s="8">
        <v>1.8E-3</v>
      </c>
      <c r="B15" s="8">
        <v>4405.9399999999996</v>
      </c>
      <c r="C15">
        <f t="shared" si="0"/>
        <v>-2.744727494896694</v>
      </c>
      <c r="D15">
        <f t="shared" si="2"/>
        <v>555556.55555555562</v>
      </c>
      <c r="E15">
        <f t="shared" si="3"/>
        <v>1.799996760005832E-3</v>
      </c>
      <c r="F15">
        <f t="shared" si="1"/>
        <v>5.7447282766260575</v>
      </c>
      <c r="G15">
        <f t="shared" si="1"/>
        <v>-2.7447282766260579</v>
      </c>
      <c r="I15" s="3" t="s">
        <v>17</v>
      </c>
      <c r="J15" s="2">
        <f>1.151*(((J12-B12)/J13)-LOG10(J14/(B4*B9*B7*B8^2))+3.23)</f>
        <v>21.821613569753399</v>
      </c>
      <c r="X15" s="3" t="s">
        <v>17</v>
      </c>
      <c r="Y15" s="2">
        <f>1.151*(((Y12-B12)/Y13)-LOG10(Y14/(B4*B9*B7*B8^2))+3.23)</f>
        <v>18.920369287066791</v>
      </c>
      <c r="AK15" s="3" t="s">
        <v>17</v>
      </c>
      <c r="AL15" s="2">
        <f>1.151*(((AL12-B12)/AL13)-LOG10(AL14/(B4*B9*B7*B8^2))+3.23)</f>
        <v>18.921279932742785</v>
      </c>
    </row>
    <row r="16" spans="1:45" x14ac:dyDescent="0.25">
      <c r="A16" s="8">
        <v>2.3E-3</v>
      </c>
      <c r="B16" s="8">
        <v>4406.3</v>
      </c>
      <c r="C16">
        <f t="shared" si="0"/>
        <v>-2.6382721639824069</v>
      </c>
      <c r="D16">
        <f t="shared" si="2"/>
        <v>434783.60869565216</v>
      </c>
      <c r="E16">
        <f t="shared" si="3"/>
        <v>2.2999947100121668E-3</v>
      </c>
      <c r="F16">
        <f t="shared" si="1"/>
        <v>5.6382731628585665</v>
      </c>
      <c r="G16">
        <f t="shared" si="1"/>
        <v>-2.6382731628585669</v>
      </c>
    </row>
    <row r="17" spans="1:38" x14ac:dyDescent="0.25">
      <c r="A17" s="8">
        <v>3.0999999999999999E-3</v>
      </c>
      <c r="B17" s="8">
        <v>4406.7700000000004</v>
      </c>
      <c r="C17">
        <f t="shared" si="0"/>
        <v>-2.5086383061657274</v>
      </c>
      <c r="D17">
        <f t="shared" si="2"/>
        <v>322581.64516129036</v>
      </c>
      <c r="E17">
        <f t="shared" si="3"/>
        <v>3.099990390029791E-3</v>
      </c>
      <c r="F17">
        <f t="shared" si="1"/>
        <v>5.5086396524765346</v>
      </c>
      <c r="G17">
        <f t="shared" si="1"/>
        <v>-2.5086396524765346</v>
      </c>
    </row>
    <row r="18" spans="1:38" x14ac:dyDescent="0.25">
      <c r="A18" s="8">
        <v>4.1000000000000003E-3</v>
      </c>
      <c r="B18" s="8">
        <v>4407.3999999999996</v>
      </c>
      <c r="C18">
        <f t="shared" si="0"/>
        <v>-2.3872161432802645</v>
      </c>
      <c r="D18">
        <f t="shared" si="2"/>
        <v>243903.43902439022</v>
      </c>
      <c r="E18">
        <f t="shared" si="3"/>
        <v>4.0999831900689213E-3</v>
      </c>
      <c r="F18">
        <f t="shared" si="1"/>
        <v>5.3872179238839903</v>
      </c>
      <c r="G18">
        <f t="shared" si="1"/>
        <v>-2.3872179238839899</v>
      </c>
    </row>
    <row r="19" spans="1:38" x14ac:dyDescent="0.25">
      <c r="A19" s="8">
        <v>5.4000000000000003E-3</v>
      </c>
      <c r="B19" s="8">
        <v>4408.22</v>
      </c>
      <c r="C19">
        <f t="shared" si="0"/>
        <v>-2.2676062401770314</v>
      </c>
      <c r="D19">
        <f t="shared" si="2"/>
        <v>185186.18518518517</v>
      </c>
      <c r="E19">
        <f t="shared" si="3"/>
        <v>5.3999708401574632E-3</v>
      </c>
      <c r="F19">
        <f t="shared" si="1"/>
        <v>5.267608585360902</v>
      </c>
      <c r="G19">
        <f t="shared" si="1"/>
        <v>-2.2676085853609016</v>
      </c>
      <c r="I19" s="1" t="s">
        <v>15</v>
      </c>
      <c r="J19" s="2">
        <f>(B60-B47)/(LOG10(A60)-LOG10(A47))</f>
        <v>22.458339770108896</v>
      </c>
      <c r="X19" s="1" t="s">
        <v>15</v>
      </c>
      <c r="Y19" s="2">
        <f>(B60-B47)/(LOG10(D60)-LOG10(D47))</f>
        <v>-25.49026372488828</v>
      </c>
      <c r="AK19" s="1" t="s">
        <v>15</v>
      </c>
      <c r="AL19" s="2">
        <f>(B62-B47)/(LOG10(E62)-LOG10(E47))</f>
        <v>25.402347400285073</v>
      </c>
    </row>
    <row r="20" spans="1:38" x14ac:dyDescent="0.25">
      <c r="A20" s="8">
        <v>7.1999999999999998E-3</v>
      </c>
      <c r="B20" s="8">
        <v>4409.32</v>
      </c>
      <c r="C20">
        <f t="shared" si="0"/>
        <v>-2.1426675035687315</v>
      </c>
      <c r="D20">
        <f t="shared" si="2"/>
        <v>138889.88888888891</v>
      </c>
      <c r="E20">
        <f t="shared" si="3"/>
        <v>7.1999481603732454E-3</v>
      </c>
      <c r="F20">
        <f t="shared" si="1"/>
        <v>5.1426706304777445</v>
      </c>
      <c r="G20">
        <f t="shared" si="1"/>
        <v>-2.1426706304777445</v>
      </c>
    </row>
    <row r="21" spans="1:38" x14ac:dyDescent="0.25">
      <c r="A21" s="8">
        <v>9.4999999999999998E-3</v>
      </c>
      <c r="B21" s="8">
        <v>4410.76</v>
      </c>
      <c r="C21">
        <f t="shared" si="0"/>
        <v>-2.0222763947111524</v>
      </c>
      <c r="D21">
        <f t="shared" si="2"/>
        <v>105264.15789473684</v>
      </c>
      <c r="E21">
        <f t="shared" si="3"/>
        <v>9.4999097508573667E-3</v>
      </c>
      <c r="F21">
        <f t="shared" si="1"/>
        <v>5.022280520489133</v>
      </c>
      <c r="G21">
        <f t="shared" si="1"/>
        <v>-2.022280520489133</v>
      </c>
    </row>
    <row r="22" spans="1:38" x14ac:dyDescent="0.25">
      <c r="A22" s="8">
        <v>1.26E-2</v>
      </c>
      <c r="B22" s="8">
        <v>4412.67</v>
      </c>
      <c r="C22">
        <f t="shared" si="0"/>
        <v>-1.8996294548824371</v>
      </c>
      <c r="D22">
        <f t="shared" si="2"/>
        <v>79366.079365079364</v>
      </c>
      <c r="E22">
        <f t="shared" si="3"/>
        <v>1.2599841242000351E-2</v>
      </c>
      <c r="F22">
        <f t="shared" si="1"/>
        <v>4.8996349269584352</v>
      </c>
      <c r="G22">
        <f t="shared" si="1"/>
        <v>-1.8996349269584352</v>
      </c>
    </row>
    <row r="23" spans="1:38" x14ac:dyDescent="0.25">
      <c r="A23" s="8">
        <v>1.6799999999999999E-2</v>
      </c>
      <c r="B23" s="8">
        <v>4415.1899999999996</v>
      </c>
      <c r="C23">
        <f t="shared" si="0"/>
        <v>-1.7746907182741372</v>
      </c>
      <c r="D23">
        <f t="shared" si="2"/>
        <v>59524.809523809527</v>
      </c>
      <c r="E23">
        <f t="shared" si="3"/>
        <v>1.6799717764741554E-2</v>
      </c>
      <c r="F23">
        <f t="shared" si="1"/>
        <v>4.7746980143601458</v>
      </c>
      <c r="G23">
        <f t="shared" si="1"/>
        <v>-1.7746980143601461</v>
      </c>
    </row>
    <row r="24" spans="1:38" x14ac:dyDescent="0.25">
      <c r="A24" s="8">
        <v>2.2200000000000001E-2</v>
      </c>
      <c r="B24" s="8">
        <v>4418.51</v>
      </c>
      <c r="C24">
        <f t="shared" si="0"/>
        <v>-1.6536470255493614</v>
      </c>
      <c r="D24">
        <f t="shared" si="2"/>
        <v>45046.045045045044</v>
      </c>
      <c r="E24">
        <f t="shared" si="3"/>
        <v>2.2199507170940803E-2</v>
      </c>
      <c r="F24">
        <f t="shared" si="1"/>
        <v>4.6536566667798427</v>
      </c>
      <c r="G24">
        <f t="shared" si="1"/>
        <v>-1.6536566667798425</v>
      </c>
    </row>
    <row r="25" spans="1:38" x14ac:dyDescent="0.25">
      <c r="A25" s="8">
        <v>2.9499999999999998E-2</v>
      </c>
      <c r="B25" s="8">
        <v>4422.8599999999997</v>
      </c>
      <c r="C25">
        <f t="shared" si="0"/>
        <v>-1.530177984021837</v>
      </c>
      <c r="D25">
        <f t="shared" si="2"/>
        <v>33899.305084745763</v>
      </c>
      <c r="E25">
        <f t="shared" si="3"/>
        <v>2.949912977567162E-2</v>
      </c>
      <c r="F25">
        <f t="shared" si="1"/>
        <v>4.5301907955200846</v>
      </c>
      <c r="G25">
        <f t="shared" si="1"/>
        <v>-1.5301907955200844</v>
      </c>
    </row>
    <row r="26" spans="1:38" x14ac:dyDescent="0.25">
      <c r="A26" s="8">
        <v>3.9100000000000003E-2</v>
      </c>
      <c r="B26" s="8">
        <v>4428.57</v>
      </c>
      <c r="C26">
        <f t="shared" si="0"/>
        <v>-1.4078232426041331</v>
      </c>
      <c r="D26">
        <f>($B$6+A26)/A26</f>
        <v>25576.447570332479</v>
      </c>
      <c r="E26">
        <f t="shared" si="3"/>
        <v>3.9098471249774135E-2</v>
      </c>
      <c r="F26">
        <f t="shared" si="1"/>
        <v>4.4078402231864073</v>
      </c>
      <c r="G26">
        <f t="shared" si="1"/>
        <v>-1.4078402231864073</v>
      </c>
    </row>
    <row r="27" spans="1:38" x14ac:dyDescent="0.25">
      <c r="A27" s="8">
        <v>5.1799999999999999E-2</v>
      </c>
      <c r="B27" s="8">
        <v>4436.01</v>
      </c>
      <c r="C27">
        <f t="shared" si="0"/>
        <v>-1.2856702402547671</v>
      </c>
      <c r="D27">
        <f t="shared" si="2"/>
        <v>19306.019305019305</v>
      </c>
      <c r="E27">
        <f t="shared" si="3"/>
        <v>5.1797316898984633E-2</v>
      </c>
      <c r="F27">
        <f t="shared" si="1"/>
        <v>4.2856927361262915</v>
      </c>
      <c r="G27">
        <f t="shared" si="1"/>
        <v>-1.2856927361262915</v>
      </c>
    </row>
    <row r="28" spans="1:38" x14ac:dyDescent="0.25">
      <c r="A28" s="8">
        <v>6.8699999999999997E-2</v>
      </c>
      <c r="B28" s="8">
        <v>4445.67</v>
      </c>
      <c r="C28">
        <f t="shared" si="0"/>
        <v>-1.1630432629404497</v>
      </c>
      <c r="D28">
        <f t="shared" si="2"/>
        <v>14557.040756914121</v>
      </c>
      <c r="E28">
        <f t="shared" si="3"/>
        <v>6.8695280634220424E-2</v>
      </c>
      <c r="F28">
        <f t="shared" si="1"/>
        <v>4.163073097946536</v>
      </c>
      <c r="G28">
        <f t="shared" si="1"/>
        <v>-1.1630730979465356</v>
      </c>
    </row>
    <row r="29" spans="1:38" x14ac:dyDescent="0.25">
      <c r="A29" s="8">
        <v>9.0999999999999998E-2</v>
      </c>
      <c r="B29" s="8">
        <v>4458.12</v>
      </c>
      <c r="C29">
        <f t="shared" si="0"/>
        <v>-1.0409586076789064</v>
      </c>
      <c r="D29">
        <f t="shared" si="2"/>
        <v>10990.010989010989</v>
      </c>
      <c r="E29">
        <f t="shared" si="3"/>
        <v>9.0991719753502426E-2</v>
      </c>
      <c r="F29">
        <f t="shared" si="1"/>
        <v>4.0409981266786721</v>
      </c>
      <c r="G29">
        <f t="shared" si="1"/>
        <v>-1.0409981266786723</v>
      </c>
    </row>
    <row r="30" spans="1:38" x14ac:dyDescent="0.25">
      <c r="A30" s="8">
        <v>0.1207</v>
      </c>
      <c r="B30" s="8">
        <v>4474.05</v>
      </c>
      <c r="C30">
        <f t="shared" si="0"/>
        <v>-0.91829272990265076</v>
      </c>
      <c r="D30">
        <f t="shared" si="2"/>
        <v>8286.0041425020718</v>
      </c>
      <c r="E30">
        <f t="shared" si="3"/>
        <v>0.12068543326820452</v>
      </c>
      <c r="F30">
        <f t="shared" si="1"/>
        <v>3.9183451460833636</v>
      </c>
      <c r="G30">
        <f t="shared" si="1"/>
        <v>-0.91834514608336371</v>
      </c>
    </row>
    <row r="31" spans="1:38" x14ac:dyDescent="0.25">
      <c r="A31" s="8">
        <v>0.16</v>
      </c>
      <c r="B31" s="8">
        <v>4494.1899999999996</v>
      </c>
      <c r="C31">
        <f t="shared" si="0"/>
        <v>-0.79588001734407521</v>
      </c>
      <c r="D31">
        <f t="shared" si="2"/>
        <v>6251</v>
      </c>
      <c r="E31">
        <f t="shared" si="3"/>
        <v>0.15997440409534475</v>
      </c>
      <c r="F31">
        <f t="shared" si="1"/>
        <v>3.7959494989028033</v>
      </c>
      <c r="G31">
        <f t="shared" si="1"/>
        <v>-0.7959494989028032</v>
      </c>
    </row>
    <row r="32" spans="1:38" x14ac:dyDescent="0.25">
      <c r="A32" s="8">
        <v>0.21210000000000001</v>
      </c>
      <c r="B32" s="8">
        <v>4519.29</v>
      </c>
      <c r="C32">
        <f t="shared" si="0"/>
        <v>-0.67345933148343817</v>
      </c>
      <c r="D32">
        <f t="shared" si="2"/>
        <v>4715.7571900047142</v>
      </c>
      <c r="E32">
        <f t="shared" si="3"/>
        <v>0.21205502312959423</v>
      </c>
      <c r="F32">
        <f t="shared" si="1"/>
        <v>3.6735514355757561</v>
      </c>
      <c r="G32">
        <f t="shared" si="1"/>
        <v>-0.67355143557575603</v>
      </c>
    </row>
    <row r="33" spans="1:7" x14ac:dyDescent="0.25">
      <c r="A33" s="8">
        <v>0.28120000000000001</v>
      </c>
      <c r="B33" s="8">
        <v>4549.99</v>
      </c>
      <c r="C33">
        <f t="shared" si="0"/>
        <v>-0.55098468365221365</v>
      </c>
      <c r="D33">
        <f t="shared" si="2"/>
        <v>3557.1877667140825</v>
      </c>
      <c r="E33">
        <f t="shared" si="3"/>
        <v>0.28112094878920046</v>
      </c>
      <c r="F33">
        <f t="shared" si="1"/>
        <v>3.5511067900931637</v>
      </c>
      <c r="G33">
        <f t="shared" si="1"/>
        <v>-0.55110679009316377</v>
      </c>
    </row>
    <row r="34" spans="1:7" x14ac:dyDescent="0.25">
      <c r="A34" s="8">
        <v>0.37280000000000002</v>
      </c>
      <c r="B34" s="8">
        <v>4586.6400000000003</v>
      </c>
      <c r="C34">
        <f t="shared" si="0"/>
        <v>-0.42852409631805621</v>
      </c>
      <c r="D34">
        <f t="shared" si="2"/>
        <v>2683.4034334763946</v>
      </c>
      <c r="E34">
        <f t="shared" si="3"/>
        <v>0.37266107195237619</v>
      </c>
      <c r="F34">
        <f t="shared" si="1"/>
        <v>3.4286859711293194</v>
      </c>
      <c r="G34">
        <f t="shared" si="1"/>
        <v>-0.42868597112931933</v>
      </c>
    </row>
    <row r="35" spans="1:7" x14ac:dyDescent="0.25">
      <c r="A35" s="8">
        <v>0.49419999999999997</v>
      </c>
      <c r="B35" s="8">
        <v>4629.0600000000004</v>
      </c>
      <c r="C35">
        <f t="shared" si="0"/>
        <v>-0.30609725893393941</v>
      </c>
      <c r="D35">
        <f t="shared" si="2"/>
        <v>2024.4722784297855</v>
      </c>
      <c r="E35">
        <f t="shared" si="3"/>
        <v>0.4939558870006443</v>
      </c>
      <c r="F35">
        <f t="shared" si="1"/>
        <v>3.3063118342497018</v>
      </c>
      <c r="G35">
        <f t="shared" si="1"/>
        <v>-0.3063118342497016</v>
      </c>
    </row>
    <row r="36" spans="1:7" x14ac:dyDescent="0.25">
      <c r="A36" s="8">
        <v>0.65510000000000002</v>
      </c>
      <c r="B36" s="8">
        <v>4676.3</v>
      </c>
      <c r="C36">
        <f t="shared" si="0"/>
        <v>-0.18369240056806019</v>
      </c>
      <c r="D36">
        <f t="shared" si="2"/>
        <v>1527.4845061822621</v>
      </c>
      <c r="E36">
        <f t="shared" si="3"/>
        <v>0.65467112494604796</v>
      </c>
      <c r="F36">
        <f t="shared" si="1"/>
        <v>3.1839768137337905</v>
      </c>
      <c r="G36">
        <f t="shared" si="1"/>
        <v>-0.18397681373379066</v>
      </c>
    </row>
    <row r="37" spans="1:7" x14ac:dyDescent="0.25">
      <c r="A37" s="8">
        <v>0.86850000000000005</v>
      </c>
      <c r="B37" s="8">
        <v>4726.3999999999996</v>
      </c>
      <c r="C37">
        <f t="shared" si="0"/>
        <v>-6.1230177216882536E-2</v>
      </c>
      <c r="D37">
        <f t="shared" si="2"/>
        <v>1152.4104778353483</v>
      </c>
      <c r="E37">
        <f t="shared" si="3"/>
        <v>0.86774636228435598</v>
      </c>
      <c r="F37">
        <f t="shared" si="1"/>
        <v>3.0616071982767088</v>
      </c>
      <c r="G37">
        <f t="shared" si="1"/>
        <v>-6.160719827670872E-2</v>
      </c>
    </row>
    <row r="38" spans="1:7" x14ac:dyDescent="0.25">
      <c r="A38" s="8">
        <v>1.1514</v>
      </c>
      <c r="B38" s="8">
        <v>4776.4799999999996</v>
      </c>
      <c r="C38">
        <f t="shared" si="0"/>
        <v>6.1226225119115157E-2</v>
      </c>
      <c r="D38">
        <f t="shared" si="2"/>
        <v>869.50790342192113</v>
      </c>
      <c r="E38">
        <f t="shared" si="3"/>
        <v>1.1500758027207474</v>
      </c>
      <c r="F38">
        <f t="shared" si="1"/>
        <v>2.9392735338912659</v>
      </c>
      <c r="G38">
        <f t="shared" si="1"/>
        <v>6.0726466108734035E-2</v>
      </c>
    </row>
    <row r="39" spans="1:7" x14ac:dyDescent="0.25">
      <c r="A39" s="8">
        <v>1.5264</v>
      </c>
      <c r="B39" s="8">
        <v>4823.0600000000004</v>
      </c>
      <c r="C39">
        <f t="shared" si="0"/>
        <v>0.18366835736001988</v>
      </c>
      <c r="D39">
        <f t="shared" si="2"/>
        <v>656.13626834381546</v>
      </c>
      <c r="E39">
        <f t="shared" si="3"/>
        <v>1.5240736539745734</v>
      </c>
      <c r="F39">
        <f t="shared" si="1"/>
        <v>2.8169940443207069</v>
      </c>
      <c r="G39">
        <f t="shared" si="1"/>
        <v>0.18300595567929298</v>
      </c>
    </row>
    <row r="40" spans="1:7" x14ac:dyDescent="0.25">
      <c r="A40" s="8">
        <v>2.0236000000000001</v>
      </c>
      <c r="B40" s="8">
        <v>4862.92</v>
      </c>
      <c r="C40">
        <f t="shared" si="0"/>
        <v>0.30612467073652977</v>
      </c>
      <c r="D40">
        <f t="shared" si="2"/>
        <v>495.16880806483493</v>
      </c>
      <c r="E40">
        <f t="shared" si="3"/>
        <v>2.0195133128600964</v>
      </c>
      <c r="F40">
        <f t="shared" si="1"/>
        <v>2.6947532795662279</v>
      </c>
      <c r="G40">
        <f t="shared" si="1"/>
        <v>0.30524672043377205</v>
      </c>
    </row>
    <row r="41" spans="1:7" x14ac:dyDescent="0.25">
      <c r="A41" s="8">
        <v>2.6827000000000001</v>
      </c>
      <c r="B41" s="8">
        <v>4894</v>
      </c>
      <c r="C41">
        <f t="shared" si="0"/>
        <v>0.42857210926186884</v>
      </c>
      <c r="D41">
        <f t="shared" si="2"/>
        <v>373.75878778842207</v>
      </c>
      <c r="E41">
        <f t="shared" si="3"/>
        <v>2.6755223761215792</v>
      </c>
      <c r="F41">
        <f t="shared" si="1"/>
        <v>2.5725914125516245</v>
      </c>
      <c r="G41">
        <f t="shared" si="1"/>
        <v>0.42740858744837551</v>
      </c>
    </row>
    <row r="42" spans="1:7" x14ac:dyDescent="0.25">
      <c r="A42" s="8">
        <v>3.5565000000000002</v>
      </c>
      <c r="B42" s="8">
        <v>4916.03</v>
      </c>
      <c r="C42">
        <f t="shared" si="0"/>
        <v>0.55102281303386946</v>
      </c>
      <c r="D42">
        <f t="shared" si="2"/>
        <v>282.17531280753548</v>
      </c>
      <c r="E42">
        <f t="shared" si="3"/>
        <v>3.5438961334015571</v>
      </c>
      <c r="F42">
        <f t="shared" si="1"/>
        <v>2.4505190151573308</v>
      </c>
      <c r="G42">
        <f t="shared" si="1"/>
        <v>0.54948098484266905</v>
      </c>
    </row>
    <row r="43" spans="1:7" x14ac:dyDescent="0.25">
      <c r="A43" s="8">
        <v>4.7149000000000001</v>
      </c>
      <c r="B43" s="8">
        <v>4930.42</v>
      </c>
      <c r="C43">
        <f t="shared" si="0"/>
        <v>0.67347248606406995</v>
      </c>
      <c r="D43">
        <f t="shared" si="2"/>
        <v>213.09357568559247</v>
      </c>
      <c r="E43">
        <f t="shared" si="3"/>
        <v>4.6927740396803115</v>
      </c>
      <c r="F43">
        <f t="shared" si="1"/>
        <v>2.3285703568641143</v>
      </c>
      <c r="G43">
        <f t="shared" si="1"/>
        <v>0.67142964313588582</v>
      </c>
    </row>
    <row r="44" spans="1:7" x14ac:dyDescent="0.25">
      <c r="A44" s="8">
        <v>6.2506000000000004</v>
      </c>
      <c r="B44" s="8">
        <v>4939.46</v>
      </c>
      <c r="C44">
        <f t="shared" si="0"/>
        <v>0.79592170761323711</v>
      </c>
      <c r="D44">
        <f t="shared" si="2"/>
        <v>160.98464147441845</v>
      </c>
      <c r="E44">
        <f t="shared" si="3"/>
        <v>6.2117726936013762</v>
      </c>
      <c r="F44">
        <f t="shared" si="1"/>
        <v>2.2067844447208111</v>
      </c>
      <c r="G44">
        <f t="shared" si="1"/>
        <v>0.79321555527918897</v>
      </c>
    </row>
    <row r="45" spans="1:7" x14ac:dyDescent="0.25">
      <c r="A45" s="8">
        <v>8.2864000000000004</v>
      </c>
      <c r="B45" s="8">
        <v>4945.3999999999996</v>
      </c>
      <c r="C45">
        <f t="shared" si="0"/>
        <v>0.91836589367381882</v>
      </c>
      <c r="D45">
        <f t="shared" si="2"/>
        <v>121.67966788955395</v>
      </c>
      <c r="E45">
        <f t="shared" si="3"/>
        <v>8.218299879875401</v>
      </c>
      <c r="F45">
        <f t="shared" si="1"/>
        <v>2.0852180156904798</v>
      </c>
      <c r="G45">
        <f t="shared" si="1"/>
        <v>0.91478198430951996</v>
      </c>
    </row>
    <row r="46" spans="1:7" x14ac:dyDescent="0.25">
      <c r="A46" s="8">
        <v>10.9854</v>
      </c>
      <c r="B46" s="8">
        <v>4949.78</v>
      </c>
      <c r="C46">
        <f t="shared" si="0"/>
        <v>1.0408158750598993</v>
      </c>
      <c r="D46">
        <f t="shared" si="2"/>
        <v>92.02991242922424</v>
      </c>
      <c r="E46">
        <f t="shared" si="3"/>
        <v>10.866032288893587</v>
      </c>
      <c r="F46">
        <f t="shared" si="1"/>
        <v>1.963929008775197</v>
      </c>
      <c r="G46">
        <f t="shared" si="1"/>
        <v>1.0360709912248027</v>
      </c>
    </row>
    <row r="47" spans="1:7" x14ac:dyDescent="0.25">
      <c r="A47" s="8">
        <v>14.563499999999999</v>
      </c>
      <c r="B47" s="8">
        <v>4953.4799999999996</v>
      </c>
      <c r="C47">
        <f t="shared" si="0"/>
        <v>1.163265760143223</v>
      </c>
      <c r="D47">
        <f t="shared" si="2"/>
        <v>69.664812716723318</v>
      </c>
      <c r="E47">
        <f t="shared" si="3"/>
        <v>14.354448982247046</v>
      </c>
      <c r="F47">
        <f t="shared" si="1"/>
        <v>1.8430134739137314</v>
      </c>
      <c r="G47">
        <f t="shared" si="1"/>
        <v>1.1569865260862686</v>
      </c>
    </row>
    <row r="48" spans="1:7" x14ac:dyDescent="0.25">
      <c r="A48" s="8">
        <v>19.306999999999999</v>
      </c>
      <c r="B48" s="8">
        <v>4956.87</v>
      </c>
      <c r="C48">
        <f t="shared" si="0"/>
        <v>1.2857147965829097</v>
      </c>
      <c r="D48">
        <f t="shared" si="2"/>
        <v>52.794685865230235</v>
      </c>
      <c r="E48">
        <f t="shared" si="3"/>
        <v>18.941300314821735</v>
      </c>
      <c r="F48">
        <f t="shared" si="1"/>
        <v>1.7225902101179906</v>
      </c>
      <c r="G48">
        <f t="shared" si="1"/>
        <v>1.2774097898820094</v>
      </c>
    </row>
    <row r="49" spans="1:7" x14ac:dyDescent="0.25">
      <c r="A49" s="8">
        <v>25.595500000000001</v>
      </c>
      <c r="B49" s="8">
        <v>4960.09</v>
      </c>
      <c r="C49">
        <f t="shared" si="0"/>
        <v>1.4081636177745231</v>
      </c>
      <c r="D49">
        <f t="shared" si="2"/>
        <v>40.069367662284378</v>
      </c>
      <c r="E49">
        <f t="shared" si="3"/>
        <v>24.956720266420827</v>
      </c>
      <c r="F49">
        <f t="shared" si="1"/>
        <v>1.6028124888527775</v>
      </c>
      <c r="G49">
        <f t="shared" si="1"/>
        <v>1.3971875111472225</v>
      </c>
    </row>
    <row r="50" spans="1:7" x14ac:dyDescent="0.25">
      <c r="A50" s="8">
        <v>33.932200000000002</v>
      </c>
      <c r="B50" s="8">
        <v>4963.21</v>
      </c>
      <c r="C50">
        <f t="shared" si="0"/>
        <v>1.5306120181150913</v>
      </c>
      <c r="D50">
        <f t="shared" si="2"/>
        <v>30.470532414638601</v>
      </c>
      <c r="E50">
        <f t="shared" si="3"/>
        <v>32.818592940620292</v>
      </c>
      <c r="F50">
        <f t="shared" si="1"/>
        <v>1.4838800427595791</v>
      </c>
      <c r="G50">
        <f t="shared" si="1"/>
        <v>1.5161199572404209</v>
      </c>
    </row>
    <row r="51" spans="1:7" x14ac:dyDescent="0.25">
      <c r="A51" s="8">
        <v>44.984299999999998</v>
      </c>
      <c r="B51" s="8">
        <v>4966.24</v>
      </c>
      <c r="C51">
        <f t="shared" si="0"/>
        <v>1.6530609668180396</v>
      </c>
      <c r="D51">
        <f t="shared" si="2"/>
        <v>23.229978014551747</v>
      </c>
      <c r="E51">
        <f t="shared" si="3"/>
        <v>43.047823780701769</v>
      </c>
      <c r="F51">
        <f t="shared" si="1"/>
        <v>1.3660487987729699</v>
      </c>
      <c r="G51">
        <f t="shared" si="1"/>
        <v>1.6339512012270301</v>
      </c>
    </row>
    <row r="52" spans="1:7" x14ac:dyDescent="0.25">
      <c r="A52" s="8">
        <v>59.636200000000002</v>
      </c>
      <c r="B52" s="8">
        <v>4969.1899999999996</v>
      </c>
      <c r="C52">
        <f t="shared" si="0"/>
        <v>1.7755099625541122</v>
      </c>
      <c r="D52">
        <f t="shared" si="2"/>
        <v>17.768338693612268</v>
      </c>
      <c r="E52">
        <f t="shared" si="3"/>
        <v>56.279881717895265</v>
      </c>
      <c r="F52">
        <f t="shared" si="1"/>
        <v>1.2496468239828389</v>
      </c>
      <c r="G52">
        <f t="shared" si="1"/>
        <v>1.7503531760171613</v>
      </c>
    </row>
    <row r="53" spans="1:7" x14ac:dyDescent="0.25">
      <c r="A53" s="8">
        <v>79.060400000000001</v>
      </c>
      <c r="B53" s="8">
        <v>4972.07</v>
      </c>
      <c r="C53">
        <f t="shared" si="0"/>
        <v>1.897959007291967</v>
      </c>
      <c r="D53">
        <f t="shared" si="2"/>
        <v>13.648557305553728</v>
      </c>
      <c r="E53">
        <f t="shared" si="3"/>
        <v>73.267817074929255</v>
      </c>
      <c r="F53">
        <f t="shared" si="1"/>
        <v>1.1350867475415898</v>
      </c>
      <c r="G53">
        <f t="shared" si="1"/>
        <v>1.8649132524584102</v>
      </c>
    </row>
    <row r="54" spans="1:7" x14ac:dyDescent="0.25">
      <c r="A54" s="8">
        <v>104.8113</v>
      </c>
      <c r="B54" s="8">
        <v>4974.88</v>
      </c>
      <c r="C54">
        <f t="shared" si="0"/>
        <v>2.0204081076771816</v>
      </c>
      <c r="D54">
        <f t="shared" si="2"/>
        <v>10.540955984707756</v>
      </c>
      <c r="E54">
        <f t="shared" si="3"/>
        <v>94.868055748524654</v>
      </c>
      <c r="F54">
        <f t="shared" si="1"/>
        <v>1.0228799998761489</v>
      </c>
      <c r="G54">
        <f t="shared" si="1"/>
        <v>1.9771200001238511</v>
      </c>
    </row>
    <row r="55" spans="1:7" x14ac:dyDescent="0.25">
      <c r="A55" s="8">
        <v>138.9496</v>
      </c>
      <c r="B55" s="8">
        <v>4977.59</v>
      </c>
      <c r="C55">
        <f t="shared" si="0"/>
        <v>2.1428573008935792</v>
      </c>
      <c r="D55">
        <f t="shared" si="2"/>
        <v>8.196854111130941</v>
      </c>
      <c r="E55">
        <f t="shared" si="3"/>
        <v>121.99802344195038</v>
      </c>
      <c r="F55">
        <f t="shared" si="1"/>
        <v>0.91364720551547995</v>
      </c>
      <c r="G55">
        <f t="shared" si="1"/>
        <v>2.0863527944845202</v>
      </c>
    </row>
    <row r="56" spans="1:7" x14ac:dyDescent="0.25">
      <c r="A56" s="8">
        <v>184.20699999999999</v>
      </c>
      <c r="B56" s="8">
        <v>4980.2</v>
      </c>
      <c r="C56">
        <f t="shared" si="0"/>
        <v>2.2653061296806474</v>
      </c>
      <c r="D56">
        <f t="shared" si="2"/>
        <v>6.4286753489281079</v>
      </c>
      <c r="E56">
        <f t="shared" si="3"/>
        <v>155.55304098016649</v>
      </c>
      <c r="F56">
        <f t="shared" si="1"/>
        <v>0.80812149424350355</v>
      </c>
      <c r="G56">
        <f t="shared" si="1"/>
        <v>2.1918785057564967</v>
      </c>
    </row>
    <row r="57" spans="1:7" x14ac:dyDescent="0.25">
      <c r="A57" s="8">
        <v>244.20529999999999</v>
      </c>
      <c r="B57" s="8">
        <v>4982.6899999999996</v>
      </c>
      <c r="C57">
        <f t="shared" si="0"/>
        <v>2.387755085226293</v>
      </c>
      <c r="D57">
        <f t="shared" si="2"/>
        <v>5.094915220922724</v>
      </c>
      <c r="E57">
        <f t="shared" si="3"/>
        <v>196.27411971320166</v>
      </c>
      <c r="F57">
        <f t="shared" si="1"/>
        <v>0.70713696176898622</v>
      </c>
      <c r="G57">
        <f t="shared" si="1"/>
        <v>2.292863038231014</v>
      </c>
    </row>
    <row r="58" spans="1:7" x14ac:dyDescent="0.25">
      <c r="A58" s="8">
        <v>323.74579999999997</v>
      </c>
      <c r="B58" s="8">
        <v>4985.04</v>
      </c>
      <c r="C58">
        <f t="shared" si="0"/>
        <v>2.5102041429621864</v>
      </c>
      <c r="D58">
        <f t="shared" si="2"/>
        <v>4.0888431602819253</v>
      </c>
      <c r="E58">
        <f t="shared" si="3"/>
        <v>244.56795254798919</v>
      </c>
      <c r="F58">
        <f t="shared" si="1"/>
        <v>0.61160045221966841</v>
      </c>
      <c r="G58">
        <f t="shared" si="1"/>
        <v>2.3883995477803315</v>
      </c>
    </row>
    <row r="59" spans="1:7" x14ac:dyDescent="0.25">
      <c r="A59" s="8">
        <v>429.1934</v>
      </c>
      <c r="B59" s="8">
        <v>4987.2299999999996</v>
      </c>
      <c r="C59">
        <f t="shared" si="0"/>
        <v>2.6326530349024426</v>
      </c>
      <c r="D59">
        <f t="shared" si="2"/>
        <v>3.3299519517308518</v>
      </c>
      <c r="E59">
        <f t="shared" si="3"/>
        <v>300.3046333687239</v>
      </c>
      <c r="F59">
        <f t="shared" si="1"/>
        <v>0.52243796706526813</v>
      </c>
      <c r="G59">
        <f t="shared" si="1"/>
        <v>2.4775620329347317</v>
      </c>
    </row>
    <row r="60" spans="1:7" x14ac:dyDescent="0.25">
      <c r="A60" s="8">
        <v>568.98659999999995</v>
      </c>
      <c r="B60" s="8">
        <v>4989.2299999999996</v>
      </c>
      <c r="C60">
        <f t="shared" si="0"/>
        <v>2.755102038601426</v>
      </c>
      <c r="D60">
        <f t="shared" si="2"/>
        <v>2.7575106338180899</v>
      </c>
      <c r="E60">
        <f t="shared" si="3"/>
        <v>362.64592699516999</v>
      </c>
      <c r="F60">
        <f t="shared" si="1"/>
        <v>0.44051719588996652</v>
      </c>
      <c r="G60">
        <f t="shared" si="1"/>
        <v>2.5594828041100333</v>
      </c>
    </row>
    <row r="61" spans="1:7" x14ac:dyDescent="0.25">
      <c r="A61" s="8">
        <v>754.31200000000001</v>
      </c>
      <c r="B61" s="8">
        <v>4991.05</v>
      </c>
      <c r="C61">
        <f t="shared" si="0"/>
        <v>2.8775510167605267</v>
      </c>
      <c r="D61">
        <f t="shared" si="2"/>
        <v>2.3257113767247501</v>
      </c>
      <c r="E61">
        <f t="shared" si="3"/>
        <v>429.9759677868019</v>
      </c>
      <c r="F61">
        <f t="shared" si="1"/>
        <v>0.36655581732564224</v>
      </c>
      <c r="G61">
        <f t="shared" si="1"/>
        <v>2.6334441826743578</v>
      </c>
    </row>
    <row r="62" spans="1:7" x14ac:dyDescent="0.25">
      <c r="A62" s="8">
        <v>1000</v>
      </c>
      <c r="B62" s="8">
        <v>4992.6499999999996</v>
      </c>
      <c r="C62">
        <f t="shared" si="0"/>
        <v>3</v>
      </c>
      <c r="D62">
        <f t="shared" si="2"/>
        <v>2</v>
      </c>
      <c r="E62">
        <f t="shared" si="3"/>
        <v>500</v>
      </c>
      <c r="F62">
        <f t="shared" si="1"/>
        <v>0.3010299956639812</v>
      </c>
      <c r="G62">
        <f t="shared" si="1"/>
        <v>2.6989700043360187</v>
      </c>
    </row>
  </sheetData>
  <mergeCells count="10">
    <mergeCell ref="AM2:AS2"/>
    <mergeCell ref="I10:J10"/>
    <mergeCell ref="X10:Y10"/>
    <mergeCell ref="AK10:AL10"/>
    <mergeCell ref="I11:J11"/>
    <mergeCell ref="X11:Y11"/>
    <mergeCell ref="AK11:AL11"/>
    <mergeCell ref="A1:C1"/>
    <mergeCell ref="N2:O2"/>
    <mergeCell ref="AB2:AD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Rigoberto Chandomi Vazquez</dc:creator>
  <cp:lastModifiedBy>Rigoberto Chandomi Vazquez</cp:lastModifiedBy>
  <dcterms:created xsi:type="dcterms:W3CDTF">2015-06-05T18:19:34Z</dcterms:created>
  <dcterms:modified xsi:type="dcterms:W3CDTF">2026-05-03T20:51:05Z</dcterms:modified>
</cp:coreProperties>
</file>